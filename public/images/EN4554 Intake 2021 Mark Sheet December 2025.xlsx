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mora-my.sharepoint.com/personal/ranga_uom_lk/Documents/Teaching/Year 2025/EN4554/"/>
    </mc:Choice>
  </mc:AlternateContent>
  <xr:revisionPtr revIDLastSave="5529" documentId="14_{A3B00771-6A9D-4F0D-AF82-2848193C6202}" xr6:coauthVersionLast="47" xr6:coauthVersionMax="47" xr10:uidLastSave="{AF578AC4-CAA7-4F97-B8F3-4FD2941B90E6}"/>
  <bookViews>
    <workbookView xWindow="-108" yWindow="-108" windowWidth="23256" windowHeight="12456" tabRatio="706" xr2:uid="{43DE01BD-88A7-4114-9629-0DAF87A8007D}"/>
  </bookViews>
  <sheets>
    <sheet name="Final Marks" sheetId="10" r:id="rId1"/>
    <sheet name="Detailed Marks" sheetId="11" r:id="rId2"/>
    <sheet name="EN4554_Intake 2021_New BSc Eng." sheetId="24" r:id="rId3"/>
    <sheet name="Marks Addition" sheetId="18" r:id="rId4"/>
    <sheet name="Moodle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4" l="1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2" i="24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8" i="24"/>
  <c r="C79" i="24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2" i="24"/>
  <c r="M55" i="11"/>
  <c r="I76" i="10" s="1"/>
  <c r="M5" i="11"/>
  <c r="M6" i="11"/>
  <c r="M7" i="11"/>
  <c r="M8" i="11"/>
  <c r="M9" i="11"/>
  <c r="M10" i="11"/>
  <c r="M11" i="11"/>
  <c r="M12" i="11"/>
  <c r="M13" i="11"/>
  <c r="M14" i="11"/>
  <c r="M15" i="11"/>
  <c r="M16" i="11"/>
  <c r="I37" i="10" s="1"/>
  <c r="M17" i="11"/>
  <c r="M18" i="11"/>
  <c r="M19" i="11"/>
  <c r="M20" i="11"/>
  <c r="M21" i="11"/>
  <c r="M22" i="11"/>
  <c r="M23" i="11"/>
  <c r="I44" i="10" s="1"/>
  <c r="M24" i="11"/>
  <c r="M25" i="11"/>
  <c r="M26" i="11"/>
  <c r="M27" i="11"/>
  <c r="I48" i="10" s="1"/>
  <c r="M28" i="11"/>
  <c r="I49" i="10" s="1"/>
  <c r="M29" i="11"/>
  <c r="M30" i="11"/>
  <c r="M31" i="11"/>
  <c r="M32" i="11"/>
  <c r="M33" i="11"/>
  <c r="M34" i="11"/>
  <c r="M35" i="11"/>
  <c r="M36" i="11"/>
  <c r="M37" i="11"/>
  <c r="M38" i="11"/>
  <c r="M39" i="11"/>
  <c r="I60" i="10" s="1"/>
  <c r="M40" i="11"/>
  <c r="I61" i="10" s="1"/>
  <c r="M41" i="11"/>
  <c r="M42" i="11"/>
  <c r="M43" i="11"/>
  <c r="M44" i="11"/>
  <c r="M45" i="11"/>
  <c r="M46" i="11"/>
  <c r="M47" i="11"/>
  <c r="M48" i="11"/>
  <c r="M49" i="11"/>
  <c r="M50" i="11"/>
  <c r="M51" i="11"/>
  <c r="M52" i="11"/>
  <c r="I73" i="10" s="1"/>
  <c r="M53" i="11"/>
  <c r="M54" i="11"/>
  <c r="M56" i="11"/>
  <c r="M57" i="11"/>
  <c r="M58" i="11"/>
  <c r="M59" i="11"/>
  <c r="M60" i="11"/>
  <c r="M61" i="11"/>
  <c r="M62" i="11"/>
  <c r="M63" i="11"/>
  <c r="I84" i="10" s="1"/>
  <c r="M64" i="11"/>
  <c r="I85" i="10" s="1"/>
  <c r="M65" i="11"/>
  <c r="M66" i="11"/>
  <c r="M67" i="11"/>
  <c r="M68" i="11"/>
  <c r="M69" i="11"/>
  <c r="M70" i="11"/>
  <c r="M71" i="11"/>
  <c r="M72" i="11"/>
  <c r="M73" i="11"/>
  <c r="M74" i="11"/>
  <c r="M75" i="11"/>
  <c r="I96" i="10" s="1"/>
  <c r="M76" i="11"/>
  <c r="I97" i="10" s="1"/>
  <c r="M77" i="11"/>
  <c r="M78" i="11"/>
  <c r="M79" i="11"/>
  <c r="M80" i="11"/>
  <c r="M81" i="11"/>
  <c r="M82" i="11"/>
  <c r="M83" i="11"/>
  <c r="M84" i="11"/>
  <c r="M85" i="11"/>
  <c r="M86" i="11"/>
  <c r="M87" i="11"/>
  <c r="I108" i="10" s="1"/>
  <c r="M88" i="11"/>
  <c r="I109" i="10" s="1"/>
  <c r="M89" i="11"/>
  <c r="M90" i="11"/>
  <c r="M91" i="11"/>
  <c r="I112" i="10" s="1"/>
  <c r="M92" i="11"/>
  <c r="M93" i="11"/>
  <c r="M94" i="11"/>
  <c r="I115" i="10" s="1"/>
  <c r="M95" i="11"/>
  <c r="M96" i="11"/>
  <c r="M97" i="11"/>
  <c r="M98" i="11"/>
  <c r="M99" i="11"/>
  <c r="I120" i="10" s="1"/>
  <c r="M100" i="11"/>
  <c r="I121" i="10" s="1"/>
  <c r="M101" i="11"/>
  <c r="I122" i="10" s="1"/>
  <c r="M102" i="11"/>
  <c r="M103" i="11"/>
  <c r="M104" i="11"/>
  <c r="M4" i="11"/>
  <c r="I41" i="10"/>
  <c r="I53" i="10"/>
  <c r="I56" i="10"/>
  <c r="I65" i="10"/>
  <c r="I68" i="10"/>
  <c r="I77" i="10"/>
  <c r="I80" i="10"/>
  <c r="I89" i="10"/>
  <c r="I101" i="10"/>
  <c r="I113" i="10"/>
  <c r="I116" i="10"/>
  <c r="I124" i="10"/>
  <c r="I125" i="10"/>
  <c r="S25" i="18"/>
  <c r="S24" i="18"/>
  <c r="S17" i="18"/>
  <c r="S12" i="18"/>
  <c r="A90" i="18"/>
  <c r="B90" i="18"/>
  <c r="S90" i="18"/>
  <c r="A91" i="18"/>
  <c r="B91" i="18"/>
  <c r="S91" i="18"/>
  <c r="A92" i="18"/>
  <c r="B92" i="18"/>
  <c r="S92" i="18"/>
  <c r="A93" i="18"/>
  <c r="B93" i="18"/>
  <c r="S93" i="18"/>
  <c r="A94" i="18"/>
  <c r="B94" i="18"/>
  <c r="S94" i="18"/>
  <c r="A95" i="18"/>
  <c r="B95" i="18"/>
  <c r="S95" i="18"/>
  <c r="A96" i="18"/>
  <c r="B96" i="18"/>
  <c r="S96" i="18"/>
  <c r="A97" i="18"/>
  <c r="B97" i="18"/>
  <c r="S97" i="18"/>
  <c r="A98" i="18"/>
  <c r="B98" i="18"/>
  <c r="S98" i="18"/>
  <c r="A99" i="18"/>
  <c r="B99" i="18"/>
  <c r="S99" i="18"/>
  <c r="A100" i="18"/>
  <c r="B100" i="18"/>
  <c r="S100" i="18"/>
  <c r="A101" i="18"/>
  <c r="B101" i="18"/>
  <c r="S101" i="18"/>
  <c r="A102" i="18"/>
  <c r="B102" i="18"/>
  <c r="S102" i="18"/>
  <c r="A103" i="18"/>
  <c r="B103" i="18"/>
  <c r="S103" i="18"/>
  <c r="A104" i="18"/>
  <c r="B104" i="18"/>
  <c r="S104" i="18"/>
  <c r="B122" i="10"/>
  <c r="C122" i="10"/>
  <c r="AA122" i="10"/>
  <c r="B123" i="10"/>
  <c r="C123" i="10"/>
  <c r="AA123" i="10"/>
  <c r="B124" i="10"/>
  <c r="C124" i="10"/>
  <c r="AA124" i="10"/>
  <c r="B125" i="10"/>
  <c r="C125" i="10"/>
  <c r="AA125" i="10"/>
  <c r="B111" i="10"/>
  <c r="C111" i="10"/>
  <c r="AA111" i="10"/>
  <c r="B112" i="10"/>
  <c r="C112" i="10"/>
  <c r="AA112" i="10"/>
  <c r="B113" i="10"/>
  <c r="C113" i="10"/>
  <c r="AA113" i="10"/>
  <c r="B114" i="10"/>
  <c r="C114" i="10"/>
  <c r="AA114" i="10"/>
  <c r="B115" i="10"/>
  <c r="C115" i="10"/>
  <c r="AA115" i="10"/>
  <c r="B116" i="10"/>
  <c r="C116" i="10"/>
  <c r="AA116" i="10"/>
  <c r="B117" i="10"/>
  <c r="C117" i="10"/>
  <c r="AA117" i="10"/>
  <c r="B118" i="10"/>
  <c r="C118" i="10"/>
  <c r="AA118" i="10"/>
  <c r="B119" i="10"/>
  <c r="C119" i="10"/>
  <c r="I119" i="10"/>
  <c r="AA119" i="10"/>
  <c r="B120" i="10"/>
  <c r="C120" i="10"/>
  <c r="AA120" i="10"/>
  <c r="B121" i="10"/>
  <c r="C121" i="10"/>
  <c r="AA121" i="10"/>
  <c r="A90" i="11"/>
  <c r="B90" i="11"/>
  <c r="L90" i="11"/>
  <c r="T90" i="18" s="1"/>
  <c r="I111" i="10"/>
  <c r="A91" i="11"/>
  <c r="B91" i="11"/>
  <c r="L91" i="11"/>
  <c r="T91" i="18" s="1"/>
  <c r="A92" i="11"/>
  <c r="B92" i="11"/>
  <c r="L92" i="11"/>
  <c r="T92" i="18" s="1"/>
  <c r="A93" i="11"/>
  <c r="B93" i="11"/>
  <c r="L93" i="11"/>
  <c r="T93" i="18" s="1"/>
  <c r="I114" i="10"/>
  <c r="A94" i="11"/>
  <c r="B94" i="11"/>
  <c r="L94" i="11"/>
  <c r="T94" i="18" s="1"/>
  <c r="A95" i="11"/>
  <c r="B95" i="11"/>
  <c r="L95" i="11"/>
  <c r="T95" i="18" s="1"/>
  <c r="A96" i="11"/>
  <c r="B96" i="11"/>
  <c r="L96" i="11"/>
  <c r="T96" i="18" s="1"/>
  <c r="I117" i="10"/>
  <c r="A97" i="11"/>
  <c r="B97" i="11"/>
  <c r="L97" i="11"/>
  <c r="T97" i="18" s="1"/>
  <c r="I118" i="10"/>
  <c r="A98" i="11"/>
  <c r="B98" i="11"/>
  <c r="L98" i="11"/>
  <c r="T98" i="18" s="1"/>
  <c r="A99" i="11"/>
  <c r="B99" i="11"/>
  <c r="L99" i="11"/>
  <c r="T99" i="18" s="1"/>
  <c r="A100" i="11"/>
  <c r="B100" i="11"/>
  <c r="L100" i="11"/>
  <c r="T100" i="18" s="1"/>
  <c r="A101" i="11"/>
  <c r="B101" i="11"/>
  <c r="L101" i="11"/>
  <c r="T101" i="18" s="1"/>
  <c r="A102" i="11"/>
  <c r="B102" i="11"/>
  <c r="L102" i="11"/>
  <c r="T102" i="18" s="1"/>
  <c r="I123" i="10"/>
  <c r="A103" i="11"/>
  <c r="B103" i="11"/>
  <c r="L103" i="11"/>
  <c r="T103" i="18" s="1"/>
  <c r="A104" i="11"/>
  <c r="B104" i="11"/>
  <c r="L104" i="11"/>
  <c r="T104" i="18" s="1"/>
  <c r="A5" i="11"/>
  <c r="B5" i="11"/>
  <c r="A6" i="11"/>
  <c r="B6" i="11"/>
  <c r="A7" i="11"/>
  <c r="B7" i="11"/>
  <c r="A8" i="11"/>
  <c r="B8" i="11"/>
  <c r="B8" i="18" s="1"/>
  <c r="A9" i="11"/>
  <c r="B9" i="11"/>
  <c r="A10" i="11"/>
  <c r="A10" i="18" s="1"/>
  <c r="B10" i="11"/>
  <c r="B10" i="18" s="1"/>
  <c r="A11" i="11"/>
  <c r="B11" i="11"/>
  <c r="A12" i="11"/>
  <c r="B12" i="11"/>
  <c r="A13" i="11"/>
  <c r="B13" i="11"/>
  <c r="A14" i="11"/>
  <c r="B14" i="11"/>
  <c r="B14" i="18" s="1"/>
  <c r="A15" i="11"/>
  <c r="B15" i="11"/>
  <c r="A16" i="11"/>
  <c r="B37" i="10" s="1"/>
  <c r="B16" i="11"/>
  <c r="B16" i="18" s="1"/>
  <c r="A17" i="11"/>
  <c r="B17" i="11"/>
  <c r="A18" i="11"/>
  <c r="B18" i="11"/>
  <c r="A19" i="11"/>
  <c r="B19" i="11"/>
  <c r="A20" i="11"/>
  <c r="B20" i="11"/>
  <c r="B20" i="18" s="1"/>
  <c r="A21" i="11"/>
  <c r="B21" i="11"/>
  <c r="A22" i="11"/>
  <c r="B43" i="10" s="1"/>
  <c r="B22" i="11"/>
  <c r="B22" i="18" s="1"/>
  <c r="A23" i="11"/>
  <c r="B23" i="11"/>
  <c r="A24" i="11"/>
  <c r="B24" i="11"/>
  <c r="A25" i="11"/>
  <c r="B25" i="11"/>
  <c r="A26" i="11"/>
  <c r="B26" i="11"/>
  <c r="B26" i="18" s="1"/>
  <c r="A27" i="11"/>
  <c r="B27" i="11"/>
  <c r="A28" i="11"/>
  <c r="A28" i="18" s="1"/>
  <c r="B28" i="11"/>
  <c r="C49" i="10" s="1"/>
  <c r="A29" i="11"/>
  <c r="B29" i="11"/>
  <c r="A30" i="11"/>
  <c r="B30" i="11"/>
  <c r="A31" i="11"/>
  <c r="B31" i="11"/>
  <c r="A32" i="11"/>
  <c r="B32" i="11"/>
  <c r="B32" i="18" s="1"/>
  <c r="A33" i="11"/>
  <c r="B33" i="11"/>
  <c r="A34" i="11"/>
  <c r="A34" i="18" s="1"/>
  <c r="B34" i="11"/>
  <c r="B34" i="18" s="1"/>
  <c r="A35" i="11"/>
  <c r="B35" i="11"/>
  <c r="A36" i="11"/>
  <c r="B36" i="11"/>
  <c r="A37" i="11"/>
  <c r="B37" i="11"/>
  <c r="A38" i="11"/>
  <c r="B38" i="11"/>
  <c r="C59" i="10" s="1"/>
  <c r="A39" i="11"/>
  <c r="B39" i="11"/>
  <c r="A40" i="11"/>
  <c r="A40" i="18" s="1"/>
  <c r="B40" i="11"/>
  <c r="B40" i="18" s="1"/>
  <c r="A41" i="11"/>
  <c r="B41" i="11"/>
  <c r="A42" i="11"/>
  <c r="B42" i="11"/>
  <c r="A43" i="11"/>
  <c r="B43" i="11"/>
  <c r="A44" i="11"/>
  <c r="B44" i="11"/>
  <c r="B44" i="18" s="1"/>
  <c r="A45" i="11"/>
  <c r="B45" i="11"/>
  <c r="A46" i="11"/>
  <c r="B67" i="10" s="1"/>
  <c r="B46" i="11"/>
  <c r="C67" i="10" s="1"/>
  <c r="A47" i="11"/>
  <c r="B47" i="11"/>
  <c r="A48" i="11"/>
  <c r="B48" i="11"/>
  <c r="A49" i="11"/>
  <c r="B49" i="11"/>
  <c r="A50" i="11"/>
  <c r="B50" i="11"/>
  <c r="B50" i="18" s="1"/>
  <c r="A51" i="11"/>
  <c r="B51" i="11"/>
  <c r="A52" i="11"/>
  <c r="A52" i="18" s="1"/>
  <c r="B52" i="11"/>
  <c r="B52" i="18" s="1"/>
  <c r="A53" i="11"/>
  <c r="B53" i="11"/>
  <c r="A54" i="11"/>
  <c r="B54" i="11"/>
  <c r="A55" i="11"/>
  <c r="B55" i="11"/>
  <c r="A56" i="11"/>
  <c r="B56" i="11"/>
  <c r="B56" i="18" s="1"/>
  <c r="A57" i="11"/>
  <c r="B57" i="11"/>
  <c r="A58" i="11"/>
  <c r="B79" i="10" s="1"/>
  <c r="B58" i="11"/>
  <c r="B58" i="18" s="1"/>
  <c r="A59" i="11"/>
  <c r="B59" i="11"/>
  <c r="A60" i="11"/>
  <c r="B60" i="11"/>
  <c r="A61" i="11"/>
  <c r="B61" i="11"/>
  <c r="A62" i="11"/>
  <c r="B62" i="11"/>
  <c r="B62" i="18" s="1"/>
  <c r="A63" i="11"/>
  <c r="B63" i="11"/>
  <c r="A64" i="11"/>
  <c r="B85" i="10" s="1"/>
  <c r="B64" i="11"/>
  <c r="C85" i="10" s="1"/>
  <c r="A65" i="11"/>
  <c r="B65" i="11"/>
  <c r="A66" i="11"/>
  <c r="B66" i="11"/>
  <c r="A67" i="11"/>
  <c r="B67" i="11"/>
  <c r="A68" i="11"/>
  <c r="B68" i="11"/>
  <c r="B68" i="18" s="1"/>
  <c r="A69" i="11"/>
  <c r="B69" i="11"/>
  <c r="A70" i="11"/>
  <c r="A70" i="18" s="1"/>
  <c r="B70" i="11"/>
  <c r="C91" i="10" s="1"/>
  <c r="A71" i="11"/>
  <c r="B71" i="11"/>
  <c r="A72" i="11"/>
  <c r="B72" i="11"/>
  <c r="A73" i="11"/>
  <c r="B73" i="11"/>
  <c r="A74" i="11"/>
  <c r="B74" i="11"/>
  <c r="B74" i="18" s="1"/>
  <c r="A75" i="11"/>
  <c r="B75" i="11"/>
  <c r="A76" i="11"/>
  <c r="B97" i="10" s="1"/>
  <c r="B76" i="11"/>
  <c r="B76" i="18" s="1"/>
  <c r="A77" i="11"/>
  <c r="B77" i="11"/>
  <c r="A78" i="11"/>
  <c r="B78" i="11"/>
  <c r="A79" i="11"/>
  <c r="B79" i="11"/>
  <c r="A80" i="11"/>
  <c r="B80" i="11"/>
  <c r="B80" i="18" s="1"/>
  <c r="A81" i="11"/>
  <c r="B81" i="11"/>
  <c r="A82" i="11"/>
  <c r="B103" i="10" s="1"/>
  <c r="B82" i="11"/>
  <c r="C103" i="10" s="1"/>
  <c r="A83" i="11"/>
  <c r="B83" i="11"/>
  <c r="A84" i="11"/>
  <c r="B84" i="11"/>
  <c r="A85" i="11"/>
  <c r="B85" i="11"/>
  <c r="A86" i="11"/>
  <c r="B86" i="11"/>
  <c r="B86" i="18" s="1"/>
  <c r="A87" i="11"/>
  <c r="B87" i="11"/>
  <c r="A88" i="11"/>
  <c r="A88" i="18" s="1"/>
  <c r="B88" i="11"/>
  <c r="B88" i="18" s="1"/>
  <c r="A89" i="11"/>
  <c r="B89" i="11"/>
  <c r="B4" i="11"/>
  <c r="A4" i="11"/>
  <c r="A4" i="18" s="1"/>
  <c r="A89" i="18"/>
  <c r="B89" i="18"/>
  <c r="S89" i="18"/>
  <c r="S88" i="18"/>
  <c r="S16" i="18"/>
  <c r="A17" i="18"/>
  <c r="B17" i="18"/>
  <c r="A18" i="18"/>
  <c r="B18" i="18"/>
  <c r="S18" i="18"/>
  <c r="A19" i="18"/>
  <c r="B19" i="18"/>
  <c r="S19" i="18"/>
  <c r="A20" i="18"/>
  <c r="S20" i="18"/>
  <c r="A21" i="18"/>
  <c r="B21" i="18"/>
  <c r="S21" i="18"/>
  <c r="S22" i="18"/>
  <c r="A23" i="18"/>
  <c r="B23" i="18"/>
  <c r="S23" i="18"/>
  <c r="A24" i="18"/>
  <c r="B24" i="18"/>
  <c r="A25" i="18"/>
  <c r="B25" i="18"/>
  <c r="A26" i="18"/>
  <c r="S26" i="18"/>
  <c r="A27" i="18"/>
  <c r="B27" i="18"/>
  <c r="S27" i="18"/>
  <c r="S28" i="18"/>
  <c r="A29" i="18"/>
  <c r="B29" i="18"/>
  <c r="S29" i="18"/>
  <c r="A30" i="18"/>
  <c r="B30" i="18"/>
  <c r="S30" i="18"/>
  <c r="A31" i="18"/>
  <c r="B31" i="18"/>
  <c r="S31" i="18"/>
  <c r="A32" i="18"/>
  <c r="S32" i="18"/>
  <c r="A33" i="18"/>
  <c r="B33" i="18"/>
  <c r="S33" i="18"/>
  <c r="S34" i="18"/>
  <c r="A35" i="18"/>
  <c r="B35" i="18"/>
  <c r="S35" i="18"/>
  <c r="A36" i="18"/>
  <c r="B36" i="18"/>
  <c r="S36" i="18"/>
  <c r="A37" i="18"/>
  <c r="B37" i="18"/>
  <c r="S37" i="18"/>
  <c r="A38" i="18"/>
  <c r="S38" i="18"/>
  <c r="A39" i="18"/>
  <c r="B39" i="18"/>
  <c r="S39" i="18"/>
  <c r="S40" i="18"/>
  <c r="A41" i="18"/>
  <c r="B41" i="18"/>
  <c r="S41" i="18"/>
  <c r="A42" i="18"/>
  <c r="B42" i="18"/>
  <c r="S42" i="18"/>
  <c r="A43" i="18"/>
  <c r="B43" i="18"/>
  <c r="S43" i="18"/>
  <c r="A44" i="18"/>
  <c r="S44" i="18"/>
  <c r="A45" i="18"/>
  <c r="B45" i="18"/>
  <c r="S45" i="18"/>
  <c r="S46" i="18"/>
  <c r="A47" i="18"/>
  <c r="B47" i="18"/>
  <c r="S47" i="18"/>
  <c r="A48" i="18"/>
  <c r="B48" i="18"/>
  <c r="S48" i="18"/>
  <c r="A49" i="18"/>
  <c r="B49" i="18"/>
  <c r="S49" i="18"/>
  <c r="A50" i="18"/>
  <c r="S50" i="18"/>
  <c r="A51" i="18"/>
  <c r="B51" i="18"/>
  <c r="S51" i="18"/>
  <c r="S52" i="18"/>
  <c r="A53" i="18"/>
  <c r="B53" i="18"/>
  <c r="S53" i="18"/>
  <c r="A54" i="18"/>
  <c r="B54" i="18"/>
  <c r="S54" i="18"/>
  <c r="A55" i="18"/>
  <c r="B55" i="18"/>
  <c r="S55" i="18"/>
  <c r="A56" i="18"/>
  <c r="S56" i="18"/>
  <c r="A57" i="18"/>
  <c r="B57" i="18"/>
  <c r="S57" i="18"/>
  <c r="S58" i="18"/>
  <c r="A59" i="18"/>
  <c r="B59" i="18"/>
  <c r="S59" i="18"/>
  <c r="A60" i="18"/>
  <c r="B60" i="18"/>
  <c r="S60" i="18"/>
  <c r="A61" i="18"/>
  <c r="B61" i="18"/>
  <c r="S61" i="18"/>
  <c r="A62" i="18"/>
  <c r="S62" i="18"/>
  <c r="A63" i="18"/>
  <c r="B63" i="18"/>
  <c r="S63" i="18"/>
  <c r="S64" i="18"/>
  <c r="A65" i="18"/>
  <c r="B65" i="18"/>
  <c r="S65" i="18"/>
  <c r="A66" i="18"/>
  <c r="B66" i="18"/>
  <c r="S66" i="18"/>
  <c r="A67" i="18"/>
  <c r="B67" i="18"/>
  <c r="S67" i="18"/>
  <c r="A68" i="18"/>
  <c r="S68" i="18"/>
  <c r="A69" i="18"/>
  <c r="B69" i="18"/>
  <c r="S69" i="18"/>
  <c r="S70" i="18"/>
  <c r="A71" i="18"/>
  <c r="B71" i="18"/>
  <c r="S71" i="18"/>
  <c r="A72" i="18"/>
  <c r="B72" i="18"/>
  <c r="S72" i="18"/>
  <c r="A73" i="18"/>
  <c r="B73" i="18"/>
  <c r="S73" i="18"/>
  <c r="A74" i="18"/>
  <c r="S74" i="18"/>
  <c r="A75" i="18"/>
  <c r="B75" i="18"/>
  <c r="S75" i="18"/>
  <c r="S76" i="18"/>
  <c r="A77" i="18"/>
  <c r="B77" i="18"/>
  <c r="S77" i="18"/>
  <c r="A78" i="18"/>
  <c r="B78" i="18"/>
  <c r="S78" i="18"/>
  <c r="A79" i="18"/>
  <c r="B79" i="18"/>
  <c r="S79" i="18"/>
  <c r="A80" i="18"/>
  <c r="S80" i="18"/>
  <c r="A81" i="18"/>
  <c r="B81" i="18"/>
  <c r="S81" i="18"/>
  <c r="S82" i="18"/>
  <c r="A83" i="18"/>
  <c r="B83" i="18"/>
  <c r="S83" i="18"/>
  <c r="A84" i="18"/>
  <c r="B84" i="18"/>
  <c r="S84" i="18"/>
  <c r="A85" i="18"/>
  <c r="B85" i="18"/>
  <c r="S85" i="18"/>
  <c r="A86" i="18"/>
  <c r="S86" i="18"/>
  <c r="A87" i="18"/>
  <c r="B87" i="18"/>
  <c r="S87" i="18"/>
  <c r="A5" i="18"/>
  <c r="B5" i="18"/>
  <c r="A6" i="18"/>
  <c r="B6" i="18"/>
  <c r="A7" i="18"/>
  <c r="B7" i="18"/>
  <c r="A8" i="18"/>
  <c r="A9" i="18"/>
  <c r="B9" i="18"/>
  <c r="A11" i="18"/>
  <c r="B11" i="18"/>
  <c r="A12" i="18"/>
  <c r="B12" i="18"/>
  <c r="A13" i="18"/>
  <c r="B13" i="18"/>
  <c r="A14" i="18"/>
  <c r="A15" i="18"/>
  <c r="B15" i="18"/>
  <c r="B4" i="18"/>
  <c r="AA109" i="10"/>
  <c r="B110" i="10"/>
  <c r="C110" i="10"/>
  <c r="AA110" i="10"/>
  <c r="B107" i="10"/>
  <c r="AA107" i="10"/>
  <c r="B108" i="10"/>
  <c r="C108" i="10"/>
  <c r="AA108" i="10"/>
  <c r="AA73" i="10"/>
  <c r="B74" i="10"/>
  <c r="C74" i="10"/>
  <c r="AA74" i="10"/>
  <c r="B75" i="10"/>
  <c r="C75" i="10"/>
  <c r="AA75" i="10"/>
  <c r="B76" i="10"/>
  <c r="C76" i="10"/>
  <c r="AA76" i="10"/>
  <c r="B77" i="10"/>
  <c r="C77" i="10"/>
  <c r="AA77" i="10"/>
  <c r="B78" i="10"/>
  <c r="C78" i="10"/>
  <c r="AA78" i="10"/>
  <c r="AA79" i="10"/>
  <c r="B80" i="10"/>
  <c r="C80" i="10"/>
  <c r="AA80" i="10"/>
  <c r="B81" i="10"/>
  <c r="C81" i="10"/>
  <c r="AA81" i="10"/>
  <c r="B82" i="10"/>
  <c r="C82" i="10"/>
  <c r="AA82" i="10"/>
  <c r="B83" i="10"/>
  <c r="C83" i="10"/>
  <c r="I83" i="10"/>
  <c r="AA83" i="10"/>
  <c r="B84" i="10"/>
  <c r="C84" i="10"/>
  <c r="AA84" i="10"/>
  <c r="AA85" i="10"/>
  <c r="B86" i="10"/>
  <c r="C86" i="10"/>
  <c r="AA86" i="10"/>
  <c r="B87" i="10"/>
  <c r="C87" i="10"/>
  <c r="AA87" i="10"/>
  <c r="B88" i="10"/>
  <c r="C88" i="10"/>
  <c r="AA88" i="10"/>
  <c r="B89" i="10"/>
  <c r="AA89" i="10"/>
  <c r="B90" i="10"/>
  <c r="C90" i="10"/>
  <c r="AA90" i="10"/>
  <c r="AA91" i="10"/>
  <c r="B92" i="10"/>
  <c r="C92" i="10"/>
  <c r="AA92" i="10"/>
  <c r="B93" i="10"/>
  <c r="C93" i="10"/>
  <c r="AA93" i="10"/>
  <c r="B94" i="10"/>
  <c r="C94" i="10"/>
  <c r="AA94" i="10"/>
  <c r="B95" i="10"/>
  <c r="C95" i="10"/>
  <c r="AA95" i="10"/>
  <c r="B96" i="10"/>
  <c r="C96" i="10"/>
  <c r="AA96" i="10"/>
  <c r="AA97" i="10"/>
  <c r="B98" i="10"/>
  <c r="C98" i="10"/>
  <c r="AA98" i="10"/>
  <c r="B99" i="10"/>
  <c r="C99" i="10"/>
  <c r="AA99" i="10"/>
  <c r="B100" i="10"/>
  <c r="C100" i="10"/>
  <c r="AA100" i="10"/>
  <c r="B101" i="10"/>
  <c r="C101" i="10"/>
  <c r="AA101" i="10"/>
  <c r="B102" i="10"/>
  <c r="C102" i="10"/>
  <c r="AA102" i="10"/>
  <c r="AA103" i="10"/>
  <c r="B104" i="10"/>
  <c r="C104" i="10"/>
  <c r="AA104" i="10"/>
  <c r="B105" i="10"/>
  <c r="C105" i="10"/>
  <c r="AA105" i="10"/>
  <c r="B106" i="10"/>
  <c r="C106" i="10"/>
  <c r="AA106" i="10"/>
  <c r="B36" i="10"/>
  <c r="C36" i="10"/>
  <c r="AA36" i="10"/>
  <c r="AA37" i="10"/>
  <c r="B38" i="10"/>
  <c r="C38" i="10"/>
  <c r="AA38" i="10"/>
  <c r="B39" i="10"/>
  <c r="C39" i="10"/>
  <c r="AA39" i="10"/>
  <c r="B40" i="10"/>
  <c r="C40" i="10"/>
  <c r="AA40" i="10"/>
  <c r="B41" i="10"/>
  <c r="C41" i="10"/>
  <c r="AA41" i="10"/>
  <c r="B42" i="10"/>
  <c r="C42" i="10"/>
  <c r="AA42" i="10"/>
  <c r="AA43" i="10"/>
  <c r="B44" i="10"/>
  <c r="C44" i="10"/>
  <c r="AA44" i="10"/>
  <c r="B45" i="10"/>
  <c r="C45" i="10"/>
  <c r="AA45" i="10"/>
  <c r="B46" i="10"/>
  <c r="C46" i="10"/>
  <c r="AA46" i="10"/>
  <c r="B47" i="10"/>
  <c r="AA47" i="10"/>
  <c r="B48" i="10"/>
  <c r="C48" i="10"/>
  <c r="AA48" i="10"/>
  <c r="B49" i="10"/>
  <c r="AA49" i="10"/>
  <c r="B50" i="10"/>
  <c r="C50" i="10"/>
  <c r="AA50" i="10"/>
  <c r="B51" i="10"/>
  <c r="C51" i="10"/>
  <c r="AA51" i="10"/>
  <c r="B52" i="10"/>
  <c r="C52" i="10"/>
  <c r="AA52" i="10"/>
  <c r="B53" i="10"/>
  <c r="C53" i="10"/>
  <c r="AA53" i="10"/>
  <c r="B54" i="10"/>
  <c r="C54" i="10"/>
  <c r="AA54" i="10"/>
  <c r="AA55" i="10"/>
  <c r="B56" i="10"/>
  <c r="C56" i="10"/>
  <c r="AA56" i="10"/>
  <c r="B57" i="10"/>
  <c r="C57" i="10"/>
  <c r="AA57" i="10"/>
  <c r="B58" i="10"/>
  <c r="C58" i="10"/>
  <c r="AA58" i="10"/>
  <c r="B59" i="10"/>
  <c r="AA59" i="10"/>
  <c r="B60" i="10"/>
  <c r="C60" i="10"/>
  <c r="AA60" i="10"/>
  <c r="B61" i="10"/>
  <c r="AA61" i="10"/>
  <c r="B62" i="10"/>
  <c r="C62" i="10"/>
  <c r="AA62" i="10"/>
  <c r="B63" i="10"/>
  <c r="C63" i="10"/>
  <c r="AA63" i="10"/>
  <c r="B64" i="10"/>
  <c r="C64" i="10"/>
  <c r="AA64" i="10"/>
  <c r="B65" i="10"/>
  <c r="C65" i="10"/>
  <c r="AA65" i="10"/>
  <c r="B66" i="10"/>
  <c r="C66" i="10"/>
  <c r="AA66" i="10"/>
  <c r="AA67" i="10"/>
  <c r="B68" i="10"/>
  <c r="C68" i="10"/>
  <c r="AA68" i="10"/>
  <c r="B69" i="10"/>
  <c r="C69" i="10"/>
  <c r="AA69" i="10"/>
  <c r="B70" i="10"/>
  <c r="C70" i="10"/>
  <c r="AA70" i="10"/>
  <c r="B71" i="10"/>
  <c r="AA71" i="10"/>
  <c r="B72" i="10"/>
  <c r="C72" i="10"/>
  <c r="AA72" i="10"/>
  <c r="L89" i="11"/>
  <c r="T89" i="18" s="1"/>
  <c r="I110" i="10"/>
  <c r="L88" i="11"/>
  <c r="T88" i="18" s="1"/>
  <c r="L87" i="11"/>
  <c r="T87" i="18" s="1"/>
  <c r="L86" i="11"/>
  <c r="T86" i="18" s="1"/>
  <c r="I107" i="10"/>
  <c r="L85" i="11"/>
  <c r="T85" i="18" s="1"/>
  <c r="I106" i="10"/>
  <c r="L16" i="11"/>
  <c r="T16" i="18" s="1"/>
  <c r="L17" i="11"/>
  <c r="T17" i="18" s="1"/>
  <c r="I38" i="10"/>
  <c r="L18" i="11"/>
  <c r="T18" i="18" s="1"/>
  <c r="I39" i="10"/>
  <c r="L19" i="11"/>
  <c r="T19" i="18" s="1"/>
  <c r="I40" i="10"/>
  <c r="L20" i="11"/>
  <c r="T20" i="18" s="1"/>
  <c r="L21" i="11"/>
  <c r="T21" i="18" s="1"/>
  <c r="I42" i="10"/>
  <c r="L22" i="11"/>
  <c r="T22" i="18" s="1"/>
  <c r="I43" i="10"/>
  <c r="L23" i="11"/>
  <c r="T23" i="18" s="1"/>
  <c r="L24" i="11"/>
  <c r="T24" i="18" s="1"/>
  <c r="I45" i="10"/>
  <c r="L25" i="11"/>
  <c r="T25" i="18" s="1"/>
  <c r="I46" i="10"/>
  <c r="L26" i="11"/>
  <c r="T26" i="18" s="1"/>
  <c r="I47" i="10"/>
  <c r="L27" i="11"/>
  <c r="T27" i="18" s="1"/>
  <c r="L28" i="11"/>
  <c r="T28" i="18" s="1"/>
  <c r="L29" i="11"/>
  <c r="T29" i="18" s="1"/>
  <c r="I50" i="10"/>
  <c r="L30" i="11"/>
  <c r="T30" i="18" s="1"/>
  <c r="I51" i="10"/>
  <c r="L31" i="11"/>
  <c r="T31" i="18" s="1"/>
  <c r="I52" i="10"/>
  <c r="L32" i="11"/>
  <c r="T32" i="18" s="1"/>
  <c r="L33" i="11"/>
  <c r="T33" i="18" s="1"/>
  <c r="I54" i="10"/>
  <c r="L34" i="11"/>
  <c r="T34" i="18" s="1"/>
  <c r="I55" i="10"/>
  <c r="L35" i="11"/>
  <c r="T35" i="18" s="1"/>
  <c r="L36" i="11"/>
  <c r="T36" i="18" s="1"/>
  <c r="I57" i="10"/>
  <c r="L37" i="11"/>
  <c r="T37" i="18" s="1"/>
  <c r="I58" i="10"/>
  <c r="L38" i="11"/>
  <c r="T38" i="18" s="1"/>
  <c r="I59" i="10"/>
  <c r="L39" i="11"/>
  <c r="T39" i="18" s="1"/>
  <c r="L40" i="11"/>
  <c r="T40" i="18" s="1"/>
  <c r="L41" i="11"/>
  <c r="T41" i="18" s="1"/>
  <c r="I62" i="10"/>
  <c r="L42" i="11"/>
  <c r="T42" i="18" s="1"/>
  <c r="I63" i="10"/>
  <c r="L43" i="11"/>
  <c r="T43" i="18" s="1"/>
  <c r="I64" i="10"/>
  <c r="L44" i="11"/>
  <c r="T44" i="18" s="1"/>
  <c r="L45" i="11"/>
  <c r="T45" i="18" s="1"/>
  <c r="I66" i="10"/>
  <c r="L46" i="11"/>
  <c r="T46" i="18" s="1"/>
  <c r="I67" i="10"/>
  <c r="L47" i="11"/>
  <c r="T47" i="18" s="1"/>
  <c r="L48" i="11"/>
  <c r="T48" i="18" s="1"/>
  <c r="I69" i="10"/>
  <c r="L49" i="11"/>
  <c r="T49" i="18" s="1"/>
  <c r="I70" i="10"/>
  <c r="L50" i="11"/>
  <c r="T50" i="18" s="1"/>
  <c r="I71" i="10"/>
  <c r="L51" i="11"/>
  <c r="T51" i="18" s="1"/>
  <c r="I72" i="10"/>
  <c r="L52" i="11"/>
  <c r="T52" i="18" s="1"/>
  <c r="L53" i="11"/>
  <c r="T53" i="18" s="1"/>
  <c r="I74" i="10"/>
  <c r="L54" i="11"/>
  <c r="T54" i="18" s="1"/>
  <c r="I75" i="10"/>
  <c r="L55" i="11"/>
  <c r="T55" i="18" s="1"/>
  <c r="L56" i="11"/>
  <c r="T56" i="18" s="1"/>
  <c r="L57" i="11"/>
  <c r="T57" i="18" s="1"/>
  <c r="I78" i="10"/>
  <c r="L58" i="11"/>
  <c r="T58" i="18" s="1"/>
  <c r="I79" i="10"/>
  <c r="L59" i="11"/>
  <c r="T59" i="18" s="1"/>
  <c r="L60" i="11"/>
  <c r="T60" i="18" s="1"/>
  <c r="I81" i="10"/>
  <c r="L61" i="11"/>
  <c r="T61" i="18" s="1"/>
  <c r="I82" i="10"/>
  <c r="L62" i="11"/>
  <c r="T62" i="18" s="1"/>
  <c r="L63" i="11"/>
  <c r="T63" i="18" s="1"/>
  <c r="L64" i="11"/>
  <c r="T64" i="18" s="1"/>
  <c r="L65" i="11"/>
  <c r="T65" i="18" s="1"/>
  <c r="I86" i="10"/>
  <c r="L66" i="11"/>
  <c r="T66" i="18" s="1"/>
  <c r="I87" i="10"/>
  <c r="L67" i="11"/>
  <c r="T67" i="18" s="1"/>
  <c r="I88" i="10"/>
  <c r="L68" i="11"/>
  <c r="T68" i="18" s="1"/>
  <c r="L69" i="11"/>
  <c r="T69" i="18" s="1"/>
  <c r="I90" i="10"/>
  <c r="L70" i="11"/>
  <c r="T70" i="18" s="1"/>
  <c r="I91" i="10"/>
  <c r="L71" i="11"/>
  <c r="T71" i="18" s="1"/>
  <c r="I92" i="10"/>
  <c r="L72" i="11"/>
  <c r="T72" i="18" s="1"/>
  <c r="I93" i="10"/>
  <c r="L73" i="11"/>
  <c r="T73" i="18" s="1"/>
  <c r="I94" i="10"/>
  <c r="L74" i="11"/>
  <c r="T74" i="18" s="1"/>
  <c r="I95" i="10"/>
  <c r="L75" i="11"/>
  <c r="T75" i="18" s="1"/>
  <c r="L76" i="11"/>
  <c r="T76" i="18" s="1"/>
  <c r="L77" i="11"/>
  <c r="T77" i="18" s="1"/>
  <c r="I98" i="10"/>
  <c r="L78" i="11"/>
  <c r="T78" i="18" s="1"/>
  <c r="I99" i="10"/>
  <c r="L79" i="11"/>
  <c r="T79" i="18" s="1"/>
  <c r="I100" i="10"/>
  <c r="L80" i="11"/>
  <c r="T80" i="18" s="1"/>
  <c r="L81" i="11"/>
  <c r="T81" i="18" s="1"/>
  <c r="I102" i="10"/>
  <c r="L82" i="11"/>
  <c r="T82" i="18" s="1"/>
  <c r="I103" i="10"/>
  <c r="L83" i="11"/>
  <c r="T83" i="18" s="1"/>
  <c r="I104" i="10"/>
  <c r="L84" i="11"/>
  <c r="T84" i="18" s="1"/>
  <c r="I105" i="10"/>
  <c r="S14" i="18"/>
  <c r="S15" i="18"/>
  <c r="AA35" i="10"/>
  <c r="C35" i="10"/>
  <c r="B35" i="10"/>
  <c r="L14" i="11"/>
  <c r="T14" i="18" s="1"/>
  <c r="L15" i="11"/>
  <c r="T15" i="18" s="1"/>
  <c r="S13" i="18"/>
  <c r="S11" i="18"/>
  <c r="S10" i="18"/>
  <c r="S9" i="18"/>
  <c r="S8" i="18"/>
  <c r="S7" i="18"/>
  <c r="S6" i="18"/>
  <c r="S5" i="18"/>
  <c r="S4" i="18"/>
  <c r="L4" i="11"/>
  <c r="J124" i="10" l="1"/>
  <c r="C73" i="10"/>
  <c r="B82" i="18"/>
  <c r="B70" i="18"/>
  <c r="B28" i="18"/>
  <c r="B55" i="10"/>
  <c r="B91" i="10"/>
  <c r="B73" i="10"/>
  <c r="C109" i="10"/>
  <c r="A82" i="18"/>
  <c r="A76" i="18"/>
  <c r="A64" i="18"/>
  <c r="A58" i="18"/>
  <c r="A46" i="18"/>
  <c r="A22" i="18"/>
  <c r="A16" i="18"/>
  <c r="C71" i="10"/>
  <c r="C61" i="10"/>
  <c r="B109" i="10"/>
  <c r="C55" i="10"/>
  <c r="B46" i="18"/>
  <c r="C37" i="10"/>
  <c r="C97" i="10"/>
  <c r="C79" i="10"/>
  <c r="B64" i="18"/>
  <c r="C47" i="10"/>
  <c r="C89" i="10"/>
  <c r="C107" i="10"/>
  <c r="C43" i="10"/>
  <c r="B38" i="18"/>
  <c r="I36" i="10"/>
  <c r="I35" i="10"/>
  <c r="T4" i="18"/>
  <c r="L5" i="11"/>
  <c r="T5" i="18" s="1"/>
  <c r="L6" i="11"/>
  <c r="T6" i="18" s="1"/>
  <c r="L7" i="11"/>
  <c r="L8" i="11"/>
  <c r="T8" i="18" s="1"/>
  <c r="L9" i="11"/>
  <c r="T9" i="18" s="1"/>
  <c r="L10" i="11"/>
  <c r="T10" i="18" s="1"/>
  <c r="L11" i="11"/>
  <c r="T11" i="18" s="1"/>
  <c r="L12" i="11"/>
  <c r="T12" i="18" s="1"/>
  <c r="L13" i="11"/>
  <c r="T13" i="18" s="1"/>
  <c r="C31" i="10"/>
  <c r="B27" i="10"/>
  <c r="C27" i="10"/>
  <c r="B28" i="10"/>
  <c r="C28" i="10"/>
  <c r="B29" i="10"/>
  <c r="C29" i="10"/>
  <c r="B32" i="10"/>
  <c r="C32" i="10"/>
  <c r="B33" i="10"/>
  <c r="C33" i="10"/>
  <c r="C25" i="10"/>
  <c r="C30" i="10"/>
  <c r="J95" i="10"/>
  <c r="B26" i="10"/>
  <c r="C26" i="10"/>
  <c r="B30" i="10"/>
  <c r="B34" i="10"/>
  <c r="C34" i="10"/>
  <c r="AA34" i="10"/>
  <c r="AA33" i="10"/>
  <c r="AA32" i="10"/>
  <c r="AA31" i="10"/>
  <c r="AA30" i="10"/>
  <c r="AA29" i="10"/>
  <c r="AA28" i="10"/>
  <c r="AA27" i="10"/>
  <c r="AA26" i="10"/>
  <c r="AA25" i="10"/>
  <c r="T23" i="10"/>
  <c r="S23" i="10"/>
  <c r="R23" i="10"/>
  <c r="Q23" i="10"/>
  <c r="P23" i="10"/>
  <c r="O23" i="10"/>
  <c r="N23" i="10"/>
  <c r="M23" i="10"/>
  <c r="L23" i="10"/>
  <c r="K23" i="10"/>
  <c r="J122" i="10" l="1"/>
  <c r="J123" i="10"/>
  <c r="J125" i="10"/>
  <c r="J117" i="10"/>
  <c r="J120" i="10"/>
  <c r="J115" i="10"/>
  <c r="J121" i="10"/>
  <c r="J119" i="10"/>
  <c r="J118" i="10"/>
  <c r="J116" i="10"/>
  <c r="J114" i="10"/>
  <c r="J112" i="10"/>
  <c r="J113" i="10"/>
  <c r="J111" i="10"/>
  <c r="J83" i="10"/>
  <c r="J100" i="10"/>
  <c r="J97" i="10"/>
  <c r="J74" i="10"/>
  <c r="J88" i="10"/>
  <c r="J103" i="10"/>
  <c r="J98" i="10"/>
  <c r="J73" i="10"/>
  <c r="J75" i="10"/>
  <c r="J76" i="10"/>
  <c r="J91" i="10"/>
  <c r="J105" i="10"/>
  <c r="J86" i="10"/>
  <c r="J104" i="10"/>
  <c r="J77" i="10"/>
  <c r="J106" i="10"/>
  <c r="J79" i="10"/>
  <c r="J93" i="10"/>
  <c r="J99" i="10"/>
  <c r="J101" i="10"/>
  <c r="J89" i="10"/>
  <c r="J92" i="10"/>
  <c r="J80" i="10"/>
  <c r="J94" i="10"/>
  <c r="J84" i="10"/>
  <c r="J85" i="10"/>
  <c r="J87" i="10"/>
  <c r="J81" i="10"/>
  <c r="J96" i="10"/>
  <c r="J82" i="10"/>
  <c r="T7" i="18"/>
  <c r="J66" i="10"/>
  <c r="J110" i="10"/>
  <c r="J109" i="10"/>
  <c r="J107" i="10"/>
  <c r="J78" i="10"/>
  <c r="J90" i="10"/>
  <c r="J102" i="10"/>
  <c r="J108" i="10"/>
  <c r="J62" i="10"/>
  <c r="J55" i="10"/>
  <c r="J38" i="10"/>
  <c r="J43" i="10"/>
  <c r="J50" i="10"/>
  <c r="J67" i="10"/>
  <c r="J44" i="10"/>
  <c r="J56" i="10"/>
  <c r="J68" i="10"/>
  <c r="J45" i="10"/>
  <c r="J57" i="10"/>
  <c r="J69" i="10"/>
  <c r="J46" i="10"/>
  <c r="J58" i="10"/>
  <c r="J70" i="10"/>
  <c r="J59" i="10"/>
  <c r="J47" i="10"/>
  <c r="J71" i="10"/>
  <c r="J36" i="10"/>
  <c r="J48" i="10"/>
  <c r="J60" i="10"/>
  <c r="J72" i="10"/>
  <c r="J37" i="10"/>
  <c r="J49" i="10"/>
  <c r="J61" i="10"/>
  <c r="J39" i="10"/>
  <c r="J51" i="10"/>
  <c r="J63" i="10"/>
  <c r="J40" i="10"/>
  <c r="J52" i="10"/>
  <c r="J64" i="10"/>
  <c r="J41" i="10"/>
  <c r="J53" i="10"/>
  <c r="J65" i="10"/>
  <c r="J42" i="10"/>
  <c r="J54" i="10"/>
  <c r="J35" i="10"/>
  <c r="B31" i="10"/>
  <c r="H122" i="10" l="1"/>
  <c r="H125" i="10"/>
  <c r="H123" i="10"/>
  <c r="H124" i="10"/>
  <c r="H114" i="10"/>
  <c r="H112" i="10"/>
  <c r="H121" i="10"/>
  <c r="H119" i="10"/>
  <c r="H117" i="10"/>
  <c r="H115" i="10"/>
  <c r="H113" i="10"/>
  <c r="H111" i="10"/>
  <c r="H118" i="10"/>
  <c r="H120" i="10"/>
  <c r="H116" i="10"/>
  <c r="H109" i="10"/>
  <c r="H110" i="10"/>
  <c r="H97" i="10"/>
  <c r="H86" i="10"/>
  <c r="H105" i="10"/>
  <c r="H85" i="10"/>
  <c r="H87" i="10"/>
  <c r="H100" i="10"/>
  <c r="H73" i="10"/>
  <c r="H96" i="10"/>
  <c r="H74" i="10"/>
  <c r="H88" i="10"/>
  <c r="H107" i="10"/>
  <c r="H75" i="10"/>
  <c r="H76" i="10"/>
  <c r="H104" i="10"/>
  <c r="H106" i="10"/>
  <c r="H84" i="10"/>
  <c r="H77" i="10"/>
  <c r="H95" i="10"/>
  <c r="H94" i="10"/>
  <c r="H83" i="10"/>
  <c r="H92" i="10"/>
  <c r="H82" i="10"/>
  <c r="H103" i="10"/>
  <c r="H81" i="10"/>
  <c r="H102" i="10"/>
  <c r="H101" i="10"/>
  <c r="H91" i="10"/>
  <c r="H99" i="10"/>
  <c r="H90" i="10"/>
  <c r="H80" i="10"/>
  <c r="H79" i="10"/>
  <c r="H78" i="10"/>
  <c r="H89" i="10"/>
  <c r="H108" i="10"/>
  <c r="H93" i="10"/>
  <c r="H98" i="10"/>
  <c r="H71" i="10"/>
  <c r="H70" i="10"/>
  <c r="H48" i="10"/>
  <c r="H42" i="10"/>
  <c r="H63" i="10"/>
  <c r="H50" i="10"/>
  <c r="H59" i="10"/>
  <c r="H51" i="10"/>
  <c r="H36" i="10"/>
  <c r="H49" i="10"/>
  <c r="H39" i="10"/>
  <c r="H38" i="10"/>
  <c r="H47" i="10"/>
  <c r="H58" i="10"/>
  <c r="H37" i="10"/>
  <c r="H46" i="10"/>
  <c r="H67" i="10"/>
  <c r="H61" i="10"/>
  <c r="H40" i="10"/>
  <c r="H52" i="10"/>
  <c r="H72" i="10"/>
  <c r="H69" i="10"/>
  <c r="H65" i="10"/>
  <c r="H55" i="10"/>
  <c r="H57" i="10"/>
  <c r="H62" i="10"/>
  <c r="H68" i="10"/>
  <c r="H53" i="10"/>
  <c r="H45" i="10"/>
  <c r="H66" i="10"/>
  <c r="H56" i="10"/>
  <c r="H41" i="10"/>
  <c r="H43" i="10"/>
  <c r="H54" i="10"/>
  <c r="H44" i="10"/>
  <c r="H60" i="10"/>
  <c r="H64" i="10"/>
  <c r="H35" i="10"/>
  <c r="I30" i="10"/>
  <c r="H30" i="10" s="1"/>
  <c r="I28" i="10"/>
  <c r="H28" i="10" s="1"/>
  <c r="B25" i="10"/>
  <c r="G124" i="10" l="1"/>
  <c r="F124" i="10" s="1"/>
  <c r="Y124" i="10" s="1"/>
  <c r="G122" i="10"/>
  <c r="F122" i="10" s="1"/>
  <c r="Y122" i="10" s="1"/>
  <c r="G125" i="10"/>
  <c r="F125" i="10" s="1"/>
  <c r="Y125" i="10" s="1"/>
  <c r="G123" i="10"/>
  <c r="F123" i="10" s="1"/>
  <c r="Y123" i="10" s="1"/>
  <c r="G111" i="10"/>
  <c r="F111" i="10" s="1"/>
  <c r="Y111" i="10" s="1"/>
  <c r="G113" i="10"/>
  <c r="F113" i="10" s="1"/>
  <c r="Y113" i="10" s="1"/>
  <c r="G115" i="10"/>
  <c r="F115" i="10" s="1"/>
  <c r="Y115" i="10" s="1"/>
  <c r="G117" i="10"/>
  <c r="F117" i="10" s="1"/>
  <c r="Y117" i="10" s="1"/>
  <c r="G119" i="10"/>
  <c r="F119" i="10" s="1"/>
  <c r="Y119" i="10" s="1"/>
  <c r="G121" i="10"/>
  <c r="F121" i="10" s="1"/>
  <c r="Y121" i="10" s="1"/>
  <c r="G112" i="10"/>
  <c r="F112" i="10" s="1"/>
  <c r="Y112" i="10" s="1"/>
  <c r="G114" i="10"/>
  <c r="F114" i="10" s="1"/>
  <c r="Y114" i="10" s="1"/>
  <c r="G116" i="10"/>
  <c r="F116" i="10" s="1"/>
  <c r="Y116" i="10" s="1"/>
  <c r="G118" i="10"/>
  <c r="F118" i="10" s="1"/>
  <c r="Y118" i="10" s="1"/>
  <c r="G120" i="10"/>
  <c r="F120" i="10" s="1"/>
  <c r="Y120" i="10" s="1"/>
  <c r="G108" i="10"/>
  <c r="F108" i="10" s="1"/>
  <c r="Y108" i="10" s="1"/>
  <c r="G79" i="10"/>
  <c r="F79" i="10" s="1"/>
  <c r="Y79" i="10" s="1"/>
  <c r="G91" i="10"/>
  <c r="F91" i="10" s="1"/>
  <c r="Y91" i="10" s="1"/>
  <c r="G103" i="10"/>
  <c r="F103" i="10" s="1"/>
  <c r="Y103" i="10" s="1"/>
  <c r="G84" i="10"/>
  <c r="F84" i="10" s="1"/>
  <c r="Y84" i="10" s="1"/>
  <c r="G96" i="10"/>
  <c r="F96" i="10" s="1"/>
  <c r="Y96" i="10" s="1"/>
  <c r="G109" i="10"/>
  <c r="F109" i="10" s="1"/>
  <c r="Y109" i="10" s="1"/>
  <c r="G77" i="10"/>
  <c r="F77" i="10" s="1"/>
  <c r="Y77" i="10" s="1"/>
  <c r="G89" i="10"/>
  <c r="F89" i="10" s="1"/>
  <c r="Y89" i="10" s="1"/>
  <c r="G101" i="10"/>
  <c r="F101" i="10" s="1"/>
  <c r="Y101" i="10" s="1"/>
  <c r="G82" i="10"/>
  <c r="F82" i="10" s="1"/>
  <c r="Y82" i="10" s="1"/>
  <c r="G94" i="10"/>
  <c r="F94" i="10" s="1"/>
  <c r="Y94" i="10" s="1"/>
  <c r="G106" i="10"/>
  <c r="F106" i="10" s="1"/>
  <c r="Y106" i="10" s="1"/>
  <c r="G75" i="10"/>
  <c r="F75" i="10" s="1"/>
  <c r="Y75" i="10" s="1"/>
  <c r="G87" i="10"/>
  <c r="F87" i="10" s="1"/>
  <c r="Y87" i="10" s="1"/>
  <c r="G99" i="10"/>
  <c r="F99" i="10" s="1"/>
  <c r="Y99" i="10" s="1"/>
  <c r="G80" i="10"/>
  <c r="F80" i="10" s="1"/>
  <c r="Y80" i="10" s="1"/>
  <c r="G92" i="10"/>
  <c r="F92" i="10" s="1"/>
  <c r="Y92" i="10" s="1"/>
  <c r="G104" i="10"/>
  <c r="F104" i="10" s="1"/>
  <c r="Y104" i="10" s="1"/>
  <c r="G107" i="10"/>
  <c r="F107" i="10" s="1"/>
  <c r="Y107" i="10" s="1"/>
  <c r="G73" i="10"/>
  <c r="F73" i="10" s="1"/>
  <c r="Y73" i="10" s="1"/>
  <c r="G85" i="10"/>
  <c r="F85" i="10" s="1"/>
  <c r="Y85" i="10" s="1"/>
  <c r="G97" i="10"/>
  <c r="F97" i="10" s="1"/>
  <c r="Y97" i="10" s="1"/>
  <c r="G98" i="10"/>
  <c r="F98" i="10" s="1"/>
  <c r="Y98" i="10" s="1"/>
  <c r="G78" i="10"/>
  <c r="F78" i="10" s="1"/>
  <c r="Y78" i="10" s="1"/>
  <c r="G90" i="10"/>
  <c r="F90" i="10" s="1"/>
  <c r="Y90" i="10" s="1"/>
  <c r="G102" i="10"/>
  <c r="F102" i="10" s="1"/>
  <c r="Y102" i="10" s="1"/>
  <c r="G83" i="10"/>
  <c r="F83" i="10" s="1"/>
  <c r="Y83" i="10" s="1"/>
  <c r="G95" i="10"/>
  <c r="F95" i="10" s="1"/>
  <c r="Y95" i="10" s="1"/>
  <c r="G76" i="10"/>
  <c r="F76" i="10" s="1"/>
  <c r="Y76" i="10" s="1"/>
  <c r="G88" i="10"/>
  <c r="F88" i="10" s="1"/>
  <c r="Y88" i="10" s="1"/>
  <c r="G100" i="10"/>
  <c r="F100" i="10" s="1"/>
  <c r="Y100" i="10" s="1"/>
  <c r="G86" i="10"/>
  <c r="F86" i="10" s="1"/>
  <c r="Y86" i="10" s="1"/>
  <c r="G110" i="10"/>
  <c r="F110" i="10" s="1"/>
  <c r="Y110" i="10" s="1"/>
  <c r="G81" i="10"/>
  <c r="F81" i="10" s="1"/>
  <c r="Y81" i="10" s="1"/>
  <c r="G93" i="10"/>
  <c r="F93" i="10" s="1"/>
  <c r="Y93" i="10" s="1"/>
  <c r="G105" i="10"/>
  <c r="F105" i="10" s="1"/>
  <c r="Y105" i="10" s="1"/>
  <c r="G74" i="10"/>
  <c r="F74" i="10" s="1"/>
  <c r="Y74" i="10" s="1"/>
  <c r="G38" i="10"/>
  <c r="F38" i="10" s="1"/>
  <c r="Y38" i="10" s="1"/>
  <c r="G50" i="10"/>
  <c r="F50" i="10" s="1"/>
  <c r="Y50" i="10" s="1"/>
  <c r="G62" i="10"/>
  <c r="F62" i="10" s="1"/>
  <c r="Y62" i="10" s="1"/>
  <c r="G43" i="10"/>
  <c r="F43" i="10" s="1"/>
  <c r="Y43" i="10" s="1"/>
  <c r="G55" i="10"/>
  <c r="F55" i="10" s="1"/>
  <c r="Y55" i="10" s="1"/>
  <c r="G67" i="10"/>
  <c r="F67" i="10" s="1"/>
  <c r="Y67" i="10" s="1"/>
  <c r="G36" i="10"/>
  <c r="F36" i="10" s="1"/>
  <c r="Y36" i="10" s="1"/>
  <c r="G48" i="10"/>
  <c r="F48" i="10" s="1"/>
  <c r="Y48" i="10" s="1"/>
  <c r="G60" i="10"/>
  <c r="F60" i="10" s="1"/>
  <c r="Y60" i="10" s="1"/>
  <c r="G41" i="10"/>
  <c r="F41" i="10" s="1"/>
  <c r="Y41" i="10" s="1"/>
  <c r="G53" i="10"/>
  <c r="F53" i="10" s="1"/>
  <c r="Y53" i="10" s="1"/>
  <c r="G65" i="10"/>
  <c r="F65" i="10" s="1"/>
  <c r="Y65" i="10" s="1"/>
  <c r="G72" i="10"/>
  <c r="F72" i="10" s="1"/>
  <c r="Y72" i="10" s="1"/>
  <c r="G54" i="10"/>
  <c r="F54" i="10" s="1"/>
  <c r="Y54" i="10" s="1"/>
  <c r="G46" i="10"/>
  <c r="F46" i="10" s="1"/>
  <c r="Y46" i="10" s="1"/>
  <c r="G58" i="10"/>
  <c r="F58" i="10" s="1"/>
  <c r="Y58" i="10" s="1"/>
  <c r="G69" i="10"/>
  <c r="F69" i="10" s="1"/>
  <c r="Y69" i="10" s="1"/>
  <c r="G39" i="10"/>
  <c r="F39" i="10" s="1"/>
  <c r="Y39" i="10" s="1"/>
  <c r="G51" i="10"/>
  <c r="F51" i="10" s="1"/>
  <c r="Y51" i="10" s="1"/>
  <c r="G63" i="10"/>
  <c r="F63" i="10" s="1"/>
  <c r="Y63" i="10" s="1"/>
  <c r="G70" i="10"/>
  <c r="F70" i="10" s="1"/>
  <c r="Y70" i="10" s="1"/>
  <c r="G57" i="10"/>
  <c r="F57" i="10" s="1"/>
  <c r="Y57" i="10" s="1"/>
  <c r="G44" i="10"/>
  <c r="F44" i="10" s="1"/>
  <c r="Y44" i="10" s="1"/>
  <c r="G56" i="10"/>
  <c r="F56" i="10" s="1"/>
  <c r="Y56" i="10" s="1"/>
  <c r="G68" i="10"/>
  <c r="F68" i="10" s="1"/>
  <c r="Y68" i="10" s="1"/>
  <c r="G37" i="10"/>
  <c r="F37" i="10" s="1"/>
  <c r="Y37" i="10" s="1"/>
  <c r="G49" i="10"/>
  <c r="F49" i="10" s="1"/>
  <c r="Y49" i="10" s="1"/>
  <c r="G61" i="10"/>
  <c r="F61" i="10" s="1"/>
  <c r="Y61" i="10" s="1"/>
  <c r="G66" i="10"/>
  <c r="F66" i="10" s="1"/>
  <c r="Y66" i="10" s="1"/>
  <c r="G42" i="10"/>
  <c r="F42" i="10" s="1"/>
  <c r="Y42" i="10" s="1"/>
  <c r="G47" i="10"/>
  <c r="F47" i="10" s="1"/>
  <c r="Y47" i="10" s="1"/>
  <c r="G59" i="10"/>
  <c r="F59" i="10" s="1"/>
  <c r="Y59" i="10" s="1"/>
  <c r="G40" i="10"/>
  <c r="F40" i="10" s="1"/>
  <c r="Y40" i="10" s="1"/>
  <c r="G52" i="10"/>
  <c r="F52" i="10" s="1"/>
  <c r="Y52" i="10" s="1"/>
  <c r="G64" i="10"/>
  <c r="F64" i="10" s="1"/>
  <c r="Y64" i="10" s="1"/>
  <c r="G71" i="10"/>
  <c r="F71" i="10" s="1"/>
  <c r="Y71" i="10" s="1"/>
  <c r="G45" i="10"/>
  <c r="F45" i="10" s="1"/>
  <c r="Y45" i="10" s="1"/>
  <c r="G35" i="10"/>
  <c r="I29" i="10"/>
  <c r="J29" i="10" s="1"/>
  <c r="I26" i="10"/>
  <c r="H26" i="10" s="1"/>
  <c r="I33" i="10"/>
  <c r="H33" i="10" s="1"/>
  <c r="I32" i="10"/>
  <c r="J32" i="10" s="1"/>
  <c r="I27" i="10"/>
  <c r="J27" i="10" s="1"/>
  <c r="G32" i="10"/>
  <c r="G30" i="10"/>
  <c r="F30" i="10" s="1"/>
  <c r="G28" i="10"/>
  <c r="F28" i="10" s="1"/>
  <c r="G27" i="10"/>
  <c r="G33" i="10"/>
  <c r="G31" i="10"/>
  <c r="G25" i="10"/>
  <c r="G29" i="10"/>
  <c r="G34" i="10"/>
  <c r="G26" i="10"/>
  <c r="J28" i="10"/>
  <c r="J30" i="10"/>
  <c r="I34" i="10"/>
  <c r="AC125" i="10" l="1"/>
  <c r="E125" i="10" s="1"/>
  <c r="T125" i="10" s="1"/>
  <c r="AC123" i="10"/>
  <c r="E123" i="10" s="1"/>
  <c r="W123" i="10" s="1"/>
  <c r="AC122" i="10"/>
  <c r="E122" i="10" s="1"/>
  <c r="O122" i="10" s="1"/>
  <c r="AC124" i="10"/>
  <c r="E124" i="10" s="1"/>
  <c r="AC121" i="10"/>
  <c r="E121" i="10" s="1"/>
  <c r="R121" i="10" s="1"/>
  <c r="AC119" i="10"/>
  <c r="E119" i="10" s="1"/>
  <c r="T119" i="10" s="1"/>
  <c r="AC117" i="10"/>
  <c r="E117" i="10" s="1"/>
  <c r="Q117" i="10" s="1"/>
  <c r="AC113" i="10"/>
  <c r="E113" i="10" s="1"/>
  <c r="N113" i="10" s="1"/>
  <c r="AC111" i="10"/>
  <c r="E111" i="10" s="1"/>
  <c r="V111" i="10" s="1"/>
  <c r="AC115" i="10"/>
  <c r="E115" i="10" s="1"/>
  <c r="P115" i="10" s="1"/>
  <c r="AC120" i="10"/>
  <c r="E120" i="10" s="1"/>
  <c r="AC114" i="10"/>
  <c r="E114" i="10" s="1"/>
  <c r="AC112" i="10"/>
  <c r="E112" i="10" s="1"/>
  <c r="AC118" i="10"/>
  <c r="E118" i="10" s="1"/>
  <c r="AC116" i="10"/>
  <c r="E116" i="10" s="1"/>
  <c r="AC99" i="10"/>
  <c r="E99" i="10" s="1"/>
  <c r="M99" i="10" s="1"/>
  <c r="AC94" i="10"/>
  <c r="E94" i="10" s="1"/>
  <c r="P94" i="10" s="1"/>
  <c r="AC102" i="10"/>
  <c r="E102" i="10" s="1"/>
  <c r="M102" i="10" s="1"/>
  <c r="AC110" i="10"/>
  <c r="E110" i="10" s="1"/>
  <c r="U110" i="10" s="1"/>
  <c r="AC81" i="10"/>
  <c r="E81" i="10" s="1"/>
  <c r="U81" i="10" s="1"/>
  <c r="AC80" i="10"/>
  <c r="E80" i="10" s="1"/>
  <c r="M80" i="10" s="1"/>
  <c r="AC103" i="10"/>
  <c r="E103" i="10" s="1"/>
  <c r="M103" i="10" s="1"/>
  <c r="AC106" i="10"/>
  <c r="E106" i="10" s="1"/>
  <c r="V106" i="10" s="1"/>
  <c r="AC101" i="10"/>
  <c r="E101" i="10" s="1"/>
  <c r="O101" i="10" s="1"/>
  <c r="AC100" i="10"/>
  <c r="E100" i="10" s="1"/>
  <c r="U100" i="10" s="1"/>
  <c r="AC98" i="10"/>
  <c r="E98" i="10" s="1"/>
  <c r="N98" i="10" s="1"/>
  <c r="AC95" i="10"/>
  <c r="E95" i="10" s="1"/>
  <c r="R95" i="10" s="1"/>
  <c r="AC93" i="10"/>
  <c r="E93" i="10" s="1"/>
  <c r="K93" i="10" s="1"/>
  <c r="AC89" i="10"/>
  <c r="E89" i="10" s="1"/>
  <c r="V89" i="10" s="1"/>
  <c r="AC86" i="10"/>
  <c r="E86" i="10" s="1"/>
  <c r="K86" i="10" s="1"/>
  <c r="AC85" i="10"/>
  <c r="E85" i="10" s="1"/>
  <c r="M85" i="10" s="1"/>
  <c r="AC82" i="10"/>
  <c r="E82" i="10" s="1"/>
  <c r="T82" i="10" s="1"/>
  <c r="AC79" i="10"/>
  <c r="E79" i="10" s="1"/>
  <c r="M79" i="10" s="1"/>
  <c r="AC78" i="10"/>
  <c r="E78" i="10" s="1"/>
  <c r="V78" i="10" s="1"/>
  <c r="AC75" i="10"/>
  <c r="E75" i="10" s="1"/>
  <c r="T75" i="10" s="1"/>
  <c r="AC74" i="10"/>
  <c r="E74" i="10" s="1"/>
  <c r="R74" i="10" s="1"/>
  <c r="AC73" i="10"/>
  <c r="E73" i="10" s="1"/>
  <c r="T73" i="10" s="1"/>
  <c r="AC76" i="10"/>
  <c r="E76" i="10" s="1"/>
  <c r="AC91" i="10"/>
  <c r="E91" i="10" s="1"/>
  <c r="AC88" i="10"/>
  <c r="E88" i="10" s="1"/>
  <c r="AC87" i="10"/>
  <c r="E87" i="10" s="1"/>
  <c r="AC83" i="10"/>
  <c r="E83" i="10" s="1"/>
  <c r="AC108" i="10"/>
  <c r="E108" i="10" s="1"/>
  <c r="AC92" i="10"/>
  <c r="E92" i="10" s="1"/>
  <c r="AC104" i="10"/>
  <c r="E104" i="10" s="1"/>
  <c r="AC96" i="10"/>
  <c r="E96" i="10" s="1"/>
  <c r="AC77" i="10"/>
  <c r="E77" i="10" s="1"/>
  <c r="AC109" i="10"/>
  <c r="E109" i="10" s="1"/>
  <c r="AC90" i="10"/>
  <c r="E90" i="10" s="1"/>
  <c r="AC84" i="10"/>
  <c r="E84" i="10" s="1"/>
  <c r="AC107" i="10"/>
  <c r="E107" i="10" s="1"/>
  <c r="AC97" i="10"/>
  <c r="E97" i="10" s="1"/>
  <c r="AC105" i="10"/>
  <c r="E105" i="10" s="1"/>
  <c r="AC55" i="10"/>
  <c r="E55" i="10" s="1"/>
  <c r="W55" i="10" s="1"/>
  <c r="AC54" i="10"/>
  <c r="E54" i="10" s="1"/>
  <c r="L54" i="10" s="1"/>
  <c r="AC70" i="10"/>
  <c r="E70" i="10" s="1"/>
  <c r="O70" i="10" s="1"/>
  <c r="AC72" i="10"/>
  <c r="E72" i="10" s="1"/>
  <c r="Q72" i="10" s="1"/>
  <c r="AC71" i="10"/>
  <c r="E71" i="10" s="1"/>
  <c r="S71" i="10" s="1"/>
  <c r="AC46" i="10"/>
  <c r="E46" i="10" s="1"/>
  <c r="S46" i="10" s="1"/>
  <c r="AC59" i="10"/>
  <c r="E59" i="10" s="1"/>
  <c r="W59" i="10" s="1"/>
  <c r="AC37" i="10"/>
  <c r="E37" i="10" s="1"/>
  <c r="L37" i="10" s="1"/>
  <c r="AC62" i="10"/>
  <c r="E62" i="10" s="1"/>
  <c r="P62" i="10" s="1"/>
  <c r="AC68" i="10"/>
  <c r="E68" i="10" s="1"/>
  <c r="R68" i="10" s="1"/>
  <c r="AC41" i="10"/>
  <c r="E41" i="10" s="1"/>
  <c r="O41" i="10" s="1"/>
  <c r="AC57" i="10"/>
  <c r="E57" i="10" s="1"/>
  <c r="U57" i="10" s="1"/>
  <c r="AC65" i="10"/>
  <c r="E65" i="10" s="1"/>
  <c r="Q65" i="10" s="1"/>
  <c r="AC58" i="10"/>
  <c r="E58" i="10" s="1"/>
  <c r="L58" i="10" s="1"/>
  <c r="AC40" i="10"/>
  <c r="E40" i="10" s="1"/>
  <c r="T40" i="10" s="1"/>
  <c r="AC53" i="10"/>
  <c r="E53" i="10" s="1"/>
  <c r="M53" i="10" s="1"/>
  <c r="AC52" i="10"/>
  <c r="E52" i="10" s="1"/>
  <c r="W52" i="10" s="1"/>
  <c r="AC50" i="10"/>
  <c r="E50" i="10" s="1"/>
  <c r="L50" i="10" s="1"/>
  <c r="AC56" i="10"/>
  <c r="E56" i="10" s="1"/>
  <c r="U56" i="10" s="1"/>
  <c r="AC67" i="10"/>
  <c r="E67" i="10" s="1"/>
  <c r="AC42" i="10"/>
  <c r="E42" i="10" s="1"/>
  <c r="AC47" i="10"/>
  <c r="E47" i="10" s="1"/>
  <c r="AC45" i="10"/>
  <c r="E45" i="10" s="1"/>
  <c r="AC43" i="10"/>
  <c r="E43" i="10" s="1"/>
  <c r="AC60" i="10"/>
  <c r="E60" i="10" s="1"/>
  <c r="AC66" i="10"/>
  <c r="E66" i="10" s="1"/>
  <c r="AC39" i="10"/>
  <c r="E39" i="10" s="1"/>
  <c r="AC64" i="10"/>
  <c r="E64" i="10" s="1"/>
  <c r="AC63" i="10"/>
  <c r="E63" i="10" s="1"/>
  <c r="AC61" i="10"/>
  <c r="E61" i="10" s="1"/>
  <c r="AC49" i="10"/>
  <c r="E49" i="10" s="1"/>
  <c r="AC36" i="10"/>
  <c r="E36" i="10" s="1"/>
  <c r="AC69" i="10"/>
  <c r="E69" i="10" s="1"/>
  <c r="AC48" i="10"/>
  <c r="E48" i="10" s="1"/>
  <c r="AC51" i="10"/>
  <c r="E51" i="10" s="1"/>
  <c r="AC44" i="10"/>
  <c r="E44" i="10" s="1"/>
  <c r="AC38" i="10"/>
  <c r="E38" i="10" s="1"/>
  <c r="F35" i="10"/>
  <c r="AC35" i="10" s="1"/>
  <c r="E35" i="10" s="1"/>
  <c r="Y30" i="10"/>
  <c r="Y28" i="10"/>
  <c r="J26" i="10"/>
  <c r="H32" i="10"/>
  <c r="J33" i="10"/>
  <c r="H29" i="10"/>
  <c r="F29" i="10" s="1"/>
  <c r="F26" i="10"/>
  <c r="F33" i="10"/>
  <c r="H27" i="10"/>
  <c r="F27" i="10" s="1"/>
  <c r="I25" i="10"/>
  <c r="AC28" i="10"/>
  <c r="E28" i="10" s="1"/>
  <c r="N28" i="10" s="1"/>
  <c r="AC30" i="10"/>
  <c r="E30" i="10" s="1"/>
  <c r="U30" i="10" s="1"/>
  <c r="J34" i="10"/>
  <c r="H34" i="10"/>
  <c r="I31" i="10"/>
  <c r="Q125" i="10" l="1"/>
  <c r="R125" i="10"/>
  <c r="P125" i="10"/>
  <c r="M125" i="10"/>
  <c r="L125" i="10"/>
  <c r="N125" i="10"/>
  <c r="S125" i="10"/>
  <c r="O125" i="10"/>
  <c r="W125" i="10"/>
  <c r="K125" i="10"/>
  <c r="U125" i="10"/>
  <c r="V125" i="10"/>
  <c r="K123" i="10"/>
  <c r="V123" i="10"/>
  <c r="S123" i="10"/>
  <c r="R123" i="10"/>
  <c r="U123" i="10"/>
  <c r="Q123" i="10"/>
  <c r="T123" i="10"/>
  <c r="P123" i="10"/>
  <c r="M123" i="10"/>
  <c r="O123" i="10"/>
  <c r="L123" i="10"/>
  <c r="N123" i="10"/>
  <c r="T122" i="10"/>
  <c r="S122" i="10"/>
  <c r="P122" i="10"/>
  <c r="L122" i="10"/>
  <c r="U122" i="10"/>
  <c r="K122" i="10"/>
  <c r="N122" i="10"/>
  <c r="M122" i="10"/>
  <c r="W122" i="10"/>
  <c r="R122" i="10"/>
  <c r="Q122" i="10"/>
  <c r="V122" i="10"/>
  <c r="U124" i="10"/>
  <c r="V124" i="10"/>
  <c r="K124" i="10"/>
  <c r="W124" i="10"/>
  <c r="T124" i="10"/>
  <c r="L124" i="10"/>
  <c r="O124" i="10"/>
  <c r="M124" i="10"/>
  <c r="P124" i="10"/>
  <c r="Q124" i="10"/>
  <c r="R124" i="10"/>
  <c r="N124" i="10"/>
  <c r="S124" i="10"/>
  <c r="W99" i="10"/>
  <c r="V119" i="10"/>
  <c r="V117" i="10"/>
  <c r="Q119" i="10"/>
  <c r="Q121" i="10"/>
  <c r="O115" i="10"/>
  <c r="S119" i="10"/>
  <c r="K115" i="10"/>
  <c r="P119" i="10"/>
  <c r="R117" i="10"/>
  <c r="L119" i="10"/>
  <c r="L121" i="10"/>
  <c r="T121" i="10"/>
  <c r="R119" i="10"/>
  <c r="P117" i="10"/>
  <c r="N119" i="10"/>
  <c r="W117" i="10"/>
  <c r="O119" i="10"/>
  <c r="S121" i="10"/>
  <c r="K117" i="10"/>
  <c r="M119" i="10"/>
  <c r="W121" i="10"/>
  <c r="W119" i="10"/>
  <c r="U117" i="10"/>
  <c r="K119" i="10"/>
  <c r="V121" i="10"/>
  <c r="U119" i="10"/>
  <c r="N115" i="10"/>
  <c r="S117" i="10"/>
  <c r="P121" i="10"/>
  <c r="R113" i="10"/>
  <c r="N121" i="10"/>
  <c r="M113" i="10"/>
  <c r="N117" i="10"/>
  <c r="O121" i="10"/>
  <c r="L113" i="10"/>
  <c r="O117" i="10"/>
  <c r="O111" i="10"/>
  <c r="M121" i="10"/>
  <c r="S113" i="10"/>
  <c r="M117" i="10"/>
  <c r="M111" i="10"/>
  <c r="K121" i="10"/>
  <c r="V113" i="10"/>
  <c r="N103" i="10"/>
  <c r="U115" i="10"/>
  <c r="U121" i="10"/>
  <c r="R103" i="10"/>
  <c r="Q99" i="10"/>
  <c r="T117" i="10"/>
  <c r="P113" i="10"/>
  <c r="T115" i="10"/>
  <c r="K111" i="10"/>
  <c r="O113" i="10"/>
  <c r="S115" i="10"/>
  <c r="L117" i="10"/>
  <c r="U111" i="10"/>
  <c r="T111" i="10"/>
  <c r="K113" i="10"/>
  <c r="L115" i="10"/>
  <c r="Q113" i="10"/>
  <c r="Q115" i="10"/>
  <c r="S111" i="10"/>
  <c r="Q111" i="10"/>
  <c r="R111" i="10"/>
  <c r="R99" i="10"/>
  <c r="U113" i="10"/>
  <c r="M115" i="10"/>
  <c r="P111" i="10"/>
  <c r="W113" i="10"/>
  <c r="W115" i="10"/>
  <c r="N111" i="10"/>
  <c r="L111" i="10"/>
  <c r="T113" i="10"/>
  <c r="V115" i="10"/>
  <c r="W111" i="10"/>
  <c r="R115" i="10"/>
  <c r="K116" i="10"/>
  <c r="W116" i="10"/>
  <c r="M116" i="10"/>
  <c r="O116" i="10"/>
  <c r="N116" i="10"/>
  <c r="Q116" i="10"/>
  <c r="P116" i="10"/>
  <c r="L116" i="10"/>
  <c r="R116" i="10"/>
  <c r="T116" i="10"/>
  <c r="S116" i="10"/>
  <c r="U116" i="10"/>
  <c r="V116" i="10"/>
  <c r="V118" i="10"/>
  <c r="R118" i="10"/>
  <c r="T118" i="10"/>
  <c r="U118" i="10"/>
  <c r="K118" i="10"/>
  <c r="W118" i="10"/>
  <c r="L118" i="10"/>
  <c r="O118" i="10"/>
  <c r="Q118" i="10"/>
  <c r="M118" i="10"/>
  <c r="N118" i="10"/>
  <c r="P118" i="10"/>
  <c r="S118" i="10"/>
  <c r="Q112" i="10"/>
  <c r="U112" i="10"/>
  <c r="L112" i="10"/>
  <c r="V112" i="10"/>
  <c r="K112" i="10"/>
  <c r="W112" i="10"/>
  <c r="M112" i="10"/>
  <c r="O112" i="10"/>
  <c r="N112" i="10"/>
  <c r="P112" i="10"/>
  <c r="R112" i="10"/>
  <c r="S112" i="10"/>
  <c r="T112" i="10"/>
  <c r="Q114" i="10"/>
  <c r="R114" i="10"/>
  <c r="S114" i="10"/>
  <c r="K114" i="10"/>
  <c r="T114" i="10"/>
  <c r="V114" i="10"/>
  <c r="U114" i="10"/>
  <c r="W114" i="10"/>
  <c r="O114" i="10"/>
  <c r="P114" i="10"/>
  <c r="M114" i="10"/>
  <c r="N114" i="10"/>
  <c r="L114" i="10"/>
  <c r="L120" i="10"/>
  <c r="O120" i="10"/>
  <c r="P120" i="10"/>
  <c r="Q120" i="10"/>
  <c r="R120" i="10"/>
  <c r="V120" i="10"/>
  <c r="S120" i="10"/>
  <c r="W120" i="10"/>
  <c r="K120" i="10"/>
  <c r="U120" i="10"/>
  <c r="M120" i="10"/>
  <c r="N120" i="10"/>
  <c r="T120" i="10"/>
  <c r="O99" i="10"/>
  <c r="W94" i="10"/>
  <c r="V99" i="10"/>
  <c r="U99" i="10"/>
  <c r="K99" i="10"/>
  <c r="M94" i="10"/>
  <c r="N81" i="10"/>
  <c r="Q103" i="10"/>
  <c r="W103" i="10"/>
  <c r="T99" i="10"/>
  <c r="S99" i="10"/>
  <c r="O81" i="10"/>
  <c r="L99" i="10"/>
  <c r="V81" i="10"/>
  <c r="T80" i="10"/>
  <c r="S94" i="10"/>
  <c r="V103" i="10"/>
  <c r="P99" i="10"/>
  <c r="S81" i="10"/>
  <c r="M81" i="10"/>
  <c r="T94" i="10"/>
  <c r="P81" i="10"/>
  <c r="N94" i="10"/>
  <c r="P103" i="10"/>
  <c r="N99" i="10"/>
  <c r="R94" i="10"/>
  <c r="K110" i="10"/>
  <c r="O103" i="10"/>
  <c r="O110" i="10"/>
  <c r="S102" i="10"/>
  <c r="K94" i="10"/>
  <c r="W81" i="10"/>
  <c r="V102" i="10"/>
  <c r="V94" i="10"/>
  <c r="U102" i="10"/>
  <c r="W110" i="10"/>
  <c r="U94" i="10"/>
  <c r="O102" i="10"/>
  <c r="O94" i="10"/>
  <c r="L102" i="10"/>
  <c r="P102" i="10"/>
  <c r="Q94" i="10"/>
  <c r="W102" i="10"/>
  <c r="L94" i="10"/>
  <c r="K102" i="10"/>
  <c r="N102" i="10"/>
  <c r="L81" i="10"/>
  <c r="K103" i="10"/>
  <c r="K81" i="10"/>
  <c r="U103" i="10"/>
  <c r="R102" i="10"/>
  <c r="T102" i="10"/>
  <c r="V110" i="10"/>
  <c r="T81" i="10"/>
  <c r="L103" i="10"/>
  <c r="Q102" i="10"/>
  <c r="T110" i="10"/>
  <c r="R81" i="10"/>
  <c r="T103" i="10"/>
  <c r="R110" i="10"/>
  <c r="Q81" i="10"/>
  <c r="S103" i="10"/>
  <c r="L80" i="10"/>
  <c r="S110" i="10"/>
  <c r="U80" i="10"/>
  <c r="S80" i="10"/>
  <c r="Q110" i="10"/>
  <c r="V80" i="10"/>
  <c r="P110" i="10"/>
  <c r="R80" i="10"/>
  <c r="M110" i="10"/>
  <c r="Q80" i="10"/>
  <c r="W80" i="10"/>
  <c r="N110" i="10"/>
  <c r="P80" i="10"/>
  <c r="L110" i="10"/>
  <c r="K80" i="10"/>
  <c r="N80" i="10"/>
  <c r="O80" i="10"/>
  <c r="N106" i="10"/>
  <c r="U106" i="10"/>
  <c r="L106" i="10"/>
  <c r="W106" i="10"/>
  <c r="P106" i="10"/>
  <c r="O106" i="10"/>
  <c r="Q106" i="10"/>
  <c r="T106" i="10"/>
  <c r="S106" i="10"/>
  <c r="M106" i="10"/>
  <c r="K106" i="10"/>
  <c r="R106" i="10"/>
  <c r="N101" i="10"/>
  <c r="U101" i="10"/>
  <c r="P101" i="10"/>
  <c r="W101" i="10"/>
  <c r="K101" i="10"/>
  <c r="S101" i="10"/>
  <c r="T101" i="10"/>
  <c r="M101" i="10"/>
  <c r="L101" i="10"/>
  <c r="V101" i="10"/>
  <c r="Q101" i="10"/>
  <c r="R101" i="10"/>
  <c r="T100" i="10"/>
  <c r="Q100" i="10"/>
  <c r="M100" i="10"/>
  <c r="V100" i="10"/>
  <c r="K100" i="10"/>
  <c r="R100" i="10"/>
  <c r="P100" i="10"/>
  <c r="O100" i="10"/>
  <c r="L100" i="10"/>
  <c r="W100" i="10"/>
  <c r="S100" i="10"/>
  <c r="N100" i="10"/>
  <c r="V98" i="10"/>
  <c r="K98" i="10"/>
  <c r="L98" i="10"/>
  <c r="W98" i="10"/>
  <c r="S98" i="10"/>
  <c r="R98" i="10"/>
  <c r="P98" i="10"/>
  <c r="Q98" i="10"/>
  <c r="U98" i="10"/>
  <c r="M98" i="10"/>
  <c r="O98" i="10"/>
  <c r="T98" i="10"/>
  <c r="K95" i="10"/>
  <c r="V95" i="10"/>
  <c r="W95" i="10"/>
  <c r="T95" i="10"/>
  <c r="M95" i="10"/>
  <c r="S95" i="10"/>
  <c r="Q95" i="10"/>
  <c r="P95" i="10"/>
  <c r="O95" i="10"/>
  <c r="N95" i="10"/>
  <c r="L95" i="10"/>
  <c r="U95" i="10"/>
  <c r="V93" i="10"/>
  <c r="R93" i="10"/>
  <c r="T93" i="10"/>
  <c r="O93" i="10"/>
  <c r="U93" i="10"/>
  <c r="S93" i="10"/>
  <c r="Q93" i="10"/>
  <c r="M93" i="10"/>
  <c r="P93" i="10"/>
  <c r="L93" i="10"/>
  <c r="W93" i="10"/>
  <c r="N93" i="10"/>
  <c r="U89" i="10"/>
  <c r="R89" i="10"/>
  <c r="O89" i="10"/>
  <c r="T89" i="10"/>
  <c r="M89" i="10"/>
  <c r="L89" i="10"/>
  <c r="K89" i="10"/>
  <c r="S89" i="10"/>
  <c r="Q89" i="10"/>
  <c r="P89" i="10"/>
  <c r="N89" i="10"/>
  <c r="W89" i="10"/>
  <c r="V86" i="10"/>
  <c r="U86" i="10"/>
  <c r="N86" i="10"/>
  <c r="T86" i="10"/>
  <c r="R86" i="10"/>
  <c r="P86" i="10"/>
  <c r="W86" i="10"/>
  <c r="S86" i="10"/>
  <c r="Q86" i="10"/>
  <c r="M86" i="10"/>
  <c r="O86" i="10"/>
  <c r="L86" i="10"/>
  <c r="T85" i="10"/>
  <c r="L85" i="10"/>
  <c r="S85" i="10"/>
  <c r="K85" i="10"/>
  <c r="Q85" i="10"/>
  <c r="N85" i="10"/>
  <c r="R85" i="10"/>
  <c r="U85" i="10"/>
  <c r="W85" i="10"/>
  <c r="P85" i="10"/>
  <c r="V85" i="10"/>
  <c r="O85" i="10"/>
  <c r="Q82" i="10"/>
  <c r="O82" i="10"/>
  <c r="P82" i="10"/>
  <c r="L82" i="10"/>
  <c r="S82" i="10"/>
  <c r="V82" i="10"/>
  <c r="R82" i="10"/>
  <c r="N82" i="10"/>
  <c r="W82" i="10"/>
  <c r="M82" i="10"/>
  <c r="K82" i="10"/>
  <c r="U82" i="10"/>
  <c r="L79" i="10"/>
  <c r="K79" i="10"/>
  <c r="N79" i="10"/>
  <c r="U79" i="10"/>
  <c r="V79" i="10"/>
  <c r="R79" i="10"/>
  <c r="P79" i="10"/>
  <c r="O79" i="10"/>
  <c r="T79" i="10"/>
  <c r="S79" i="10"/>
  <c r="Q79" i="10"/>
  <c r="W79" i="10"/>
  <c r="T78" i="10"/>
  <c r="U78" i="10"/>
  <c r="R78" i="10"/>
  <c r="Q78" i="10"/>
  <c r="O78" i="10"/>
  <c r="L78" i="10"/>
  <c r="P78" i="10"/>
  <c r="M78" i="10"/>
  <c r="W78" i="10"/>
  <c r="N78" i="10"/>
  <c r="K78" i="10"/>
  <c r="S78" i="10"/>
  <c r="S75" i="10"/>
  <c r="N75" i="10"/>
  <c r="M75" i="10"/>
  <c r="L75" i="10"/>
  <c r="Q75" i="10"/>
  <c r="W75" i="10"/>
  <c r="P75" i="10"/>
  <c r="O75" i="10"/>
  <c r="K75" i="10"/>
  <c r="V75" i="10"/>
  <c r="R75" i="10"/>
  <c r="U75" i="10"/>
  <c r="L74" i="10"/>
  <c r="N74" i="10"/>
  <c r="O74" i="10"/>
  <c r="P74" i="10"/>
  <c r="M74" i="10"/>
  <c r="Q74" i="10"/>
  <c r="T74" i="10"/>
  <c r="V74" i="10"/>
  <c r="U74" i="10"/>
  <c r="S74" i="10"/>
  <c r="W74" i="10"/>
  <c r="K74" i="10"/>
  <c r="K73" i="10"/>
  <c r="P73" i="10"/>
  <c r="V73" i="10"/>
  <c r="U73" i="10"/>
  <c r="N73" i="10"/>
  <c r="W73" i="10"/>
  <c r="S73" i="10"/>
  <c r="O73" i="10"/>
  <c r="R73" i="10"/>
  <c r="M73" i="10"/>
  <c r="L73" i="10"/>
  <c r="Q73" i="10"/>
  <c r="Q105" i="10"/>
  <c r="S105" i="10"/>
  <c r="T105" i="10"/>
  <c r="U105" i="10"/>
  <c r="V105" i="10"/>
  <c r="K105" i="10"/>
  <c r="W105" i="10"/>
  <c r="L105" i="10"/>
  <c r="O105" i="10"/>
  <c r="M105" i="10"/>
  <c r="P105" i="10"/>
  <c r="N105" i="10"/>
  <c r="R105" i="10"/>
  <c r="R84" i="10"/>
  <c r="S84" i="10"/>
  <c r="T84" i="10"/>
  <c r="U84" i="10"/>
  <c r="V84" i="10"/>
  <c r="K84" i="10"/>
  <c r="W84" i="10"/>
  <c r="L84" i="10"/>
  <c r="Q84" i="10"/>
  <c r="M84" i="10"/>
  <c r="O84" i="10"/>
  <c r="N84" i="10"/>
  <c r="P84" i="10"/>
  <c r="O83" i="10"/>
  <c r="M83" i="10"/>
  <c r="Q83" i="10"/>
  <c r="R83" i="10"/>
  <c r="S83" i="10"/>
  <c r="T83" i="10"/>
  <c r="N83" i="10"/>
  <c r="U83" i="10"/>
  <c r="V83" i="10"/>
  <c r="K83" i="10"/>
  <c r="W83" i="10"/>
  <c r="L83" i="10"/>
  <c r="P83" i="10"/>
  <c r="S108" i="10"/>
  <c r="T108" i="10"/>
  <c r="U108" i="10"/>
  <c r="K108" i="10"/>
  <c r="W108" i="10"/>
  <c r="L108" i="10"/>
  <c r="M108" i="10"/>
  <c r="O108" i="10"/>
  <c r="N108" i="10"/>
  <c r="R108" i="10"/>
  <c r="V108" i="10"/>
  <c r="P108" i="10"/>
  <c r="Q108" i="10"/>
  <c r="L97" i="10"/>
  <c r="O97" i="10"/>
  <c r="M97" i="10"/>
  <c r="P97" i="10"/>
  <c r="W97" i="10"/>
  <c r="Q97" i="10"/>
  <c r="R97" i="10"/>
  <c r="S97" i="10"/>
  <c r="T97" i="10"/>
  <c r="U97" i="10"/>
  <c r="V97" i="10"/>
  <c r="N97" i="10"/>
  <c r="K97" i="10"/>
  <c r="R90" i="10"/>
  <c r="S90" i="10"/>
  <c r="T90" i="10"/>
  <c r="U90" i="10"/>
  <c r="V90" i="10"/>
  <c r="N90" i="10"/>
  <c r="K90" i="10"/>
  <c r="W90" i="10"/>
  <c r="L90" i="10"/>
  <c r="P90" i="10"/>
  <c r="Q90" i="10"/>
  <c r="O90" i="10"/>
  <c r="M90" i="10"/>
  <c r="P87" i="10"/>
  <c r="Q87" i="10"/>
  <c r="O87" i="10"/>
  <c r="R87" i="10"/>
  <c r="S87" i="10"/>
  <c r="T87" i="10"/>
  <c r="U87" i="10"/>
  <c r="V87" i="10"/>
  <c r="K87" i="10"/>
  <c r="W87" i="10"/>
  <c r="L87" i="10"/>
  <c r="M87" i="10"/>
  <c r="N87" i="10"/>
  <c r="K109" i="10"/>
  <c r="W109" i="10"/>
  <c r="L109" i="10"/>
  <c r="M109" i="10"/>
  <c r="O109" i="10"/>
  <c r="N109" i="10"/>
  <c r="P109" i="10"/>
  <c r="Q109" i="10"/>
  <c r="R109" i="10"/>
  <c r="S109" i="10"/>
  <c r="T109" i="10"/>
  <c r="V109" i="10"/>
  <c r="U109" i="10"/>
  <c r="V77" i="10"/>
  <c r="L77" i="10"/>
  <c r="O77" i="10"/>
  <c r="M77" i="10"/>
  <c r="N77" i="10"/>
  <c r="P77" i="10"/>
  <c r="Q77" i="10"/>
  <c r="R77" i="10"/>
  <c r="K77" i="10"/>
  <c r="W77" i="10"/>
  <c r="S77" i="10"/>
  <c r="T77" i="10"/>
  <c r="U77" i="10"/>
  <c r="T96" i="10"/>
  <c r="N96" i="10"/>
  <c r="U96" i="10"/>
  <c r="V96" i="10"/>
  <c r="W96" i="10"/>
  <c r="K96" i="10"/>
  <c r="L96" i="10"/>
  <c r="S96" i="10"/>
  <c r="O96" i="10"/>
  <c r="M96" i="10"/>
  <c r="P96" i="10"/>
  <c r="Q96" i="10"/>
  <c r="R96" i="10"/>
  <c r="P104" i="10"/>
  <c r="M104" i="10"/>
  <c r="N104" i="10"/>
  <c r="Q104" i="10"/>
  <c r="R104" i="10"/>
  <c r="S104" i="10"/>
  <c r="T104" i="10"/>
  <c r="O104" i="10"/>
  <c r="U104" i="10"/>
  <c r="V104" i="10"/>
  <c r="K104" i="10"/>
  <c r="W104" i="10"/>
  <c r="L104" i="10"/>
  <c r="R88" i="10"/>
  <c r="N88" i="10"/>
  <c r="U88" i="10"/>
  <c r="V88" i="10"/>
  <c r="K88" i="10"/>
  <c r="S88" i="10"/>
  <c r="W88" i="10"/>
  <c r="L88" i="10"/>
  <c r="Q88" i="10"/>
  <c r="T88" i="10"/>
  <c r="O88" i="10"/>
  <c r="M88" i="10"/>
  <c r="P88" i="10"/>
  <c r="Q92" i="10"/>
  <c r="R92" i="10"/>
  <c r="S92" i="10"/>
  <c r="T92" i="10"/>
  <c r="N92" i="10"/>
  <c r="U92" i="10"/>
  <c r="V92" i="10"/>
  <c r="K92" i="10"/>
  <c r="W92" i="10"/>
  <c r="L92" i="10"/>
  <c r="P92" i="10"/>
  <c r="O92" i="10"/>
  <c r="M92" i="10"/>
  <c r="L91" i="10"/>
  <c r="O91" i="10"/>
  <c r="Q91" i="10"/>
  <c r="S91" i="10"/>
  <c r="T91" i="10"/>
  <c r="R91" i="10"/>
  <c r="U91" i="10"/>
  <c r="M91" i="10"/>
  <c r="P91" i="10"/>
  <c r="V91" i="10"/>
  <c r="W91" i="10"/>
  <c r="N91" i="10"/>
  <c r="K91" i="10"/>
  <c r="U76" i="10"/>
  <c r="W76" i="10"/>
  <c r="L76" i="10"/>
  <c r="O76" i="10"/>
  <c r="M76" i="10"/>
  <c r="P76" i="10"/>
  <c r="K76" i="10"/>
  <c r="Q76" i="10"/>
  <c r="R76" i="10"/>
  <c r="S76" i="10"/>
  <c r="N76" i="10"/>
  <c r="T76" i="10"/>
  <c r="V76" i="10"/>
  <c r="T107" i="10"/>
  <c r="V107" i="10"/>
  <c r="U107" i="10"/>
  <c r="K107" i="10"/>
  <c r="W107" i="10"/>
  <c r="L107" i="10"/>
  <c r="M107" i="10"/>
  <c r="O107" i="10"/>
  <c r="N107" i="10"/>
  <c r="P107" i="10"/>
  <c r="Q107" i="10"/>
  <c r="R107" i="10"/>
  <c r="S107" i="10"/>
  <c r="N41" i="10"/>
  <c r="R41" i="10"/>
  <c r="V72" i="10"/>
  <c r="V71" i="10"/>
  <c r="O59" i="10"/>
  <c r="T62" i="10"/>
  <c r="M59" i="10"/>
  <c r="S62" i="10"/>
  <c r="K59" i="10"/>
  <c r="U62" i="10"/>
  <c r="T54" i="10"/>
  <c r="O58" i="10"/>
  <c r="T70" i="10"/>
  <c r="R70" i="10"/>
  <c r="N55" i="10"/>
  <c r="Q50" i="10"/>
  <c r="U55" i="10"/>
  <c r="P55" i="10"/>
  <c r="V54" i="10"/>
  <c r="M55" i="10"/>
  <c r="U54" i="10"/>
  <c r="T68" i="10"/>
  <c r="P54" i="10"/>
  <c r="L55" i="10"/>
  <c r="K55" i="10"/>
  <c r="K70" i="10"/>
  <c r="Q41" i="10"/>
  <c r="N70" i="10"/>
  <c r="O55" i="10"/>
  <c r="L41" i="10"/>
  <c r="V70" i="10"/>
  <c r="T72" i="10"/>
  <c r="S72" i="10"/>
  <c r="R72" i="10"/>
  <c r="P72" i="10"/>
  <c r="O72" i="10"/>
  <c r="P40" i="10"/>
  <c r="P59" i="10"/>
  <c r="W72" i="10"/>
  <c r="Q70" i="10"/>
  <c r="U72" i="10"/>
  <c r="V55" i="10"/>
  <c r="N59" i="10"/>
  <c r="W54" i="10"/>
  <c r="R50" i="10"/>
  <c r="W70" i="10"/>
  <c r="U68" i="10"/>
  <c r="T71" i="10"/>
  <c r="R71" i="10"/>
  <c r="T55" i="10"/>
  <c r="U59" i="10"/>
  <c r="L72" i="10"/>
  <c r="U41" i="10"/>
  <c r="P50" i="10"/>
  <c r="Q71" i="10"/>
  <c r="U46" i="10"/>
  <c r="R40" i="10"/>
  <c r="K50" i="10"/>
  <c r="K46" i="10"/>
  <c r="S55" i="10"/>
  <c r="R55" i="10"/>
  <c r="K72" i="10"/>
  <c r="T50" i="10"/>
  <c r="W71" i="10"/>
  <c r="R46" i="10"/>
  <c r="M56" i="10"/>
  <c r="M37" i="10"/>
  <c r="V59" i="10"/>
  <c r="V50" i="10"/>
  <c r="T59" i="10"/>
  <c r="U50" i="10"/>
  <c r="P71" i="10"/>
  <c r="N46" i="10"/>
  <c r="R59" i="10"/>
  <c r="S59" i="10"/>
  <c r="P41" i="10"/>
  <c r="Q55" i="10"/>
  <c r="Q59" i="10"/>
  <c r="M72" i="10"/>
  <c r="N72" i="10"/>
  <c r="M41" i="10"/>
  <c r="S50" i="10"/>
  <c r="K71" i="10"/>
  <c r="L46" i="10"/>
  <c r="V68" i="10"/>
  <c r="O56" i="10"/>
  <c r="L59" i="10"/>
  <c r="R54" i="10"/>
  <c r="U71" i="10"/>
  <c r="T53" i="10"/>
  <c r="Q54" i="10"/>
  <c r="M50" i="10"/>
  <c r="M71" i="10"/>
  <c r="S53" i="10"/>
  <c r="Q52" i="10"/>
  <c r="Q37" i="10"/>
  <c r="L56" i="10"/>
  <c r="N65" i="10"/>
  <c r="K65" i="10"/>
  <c r="S54" i="10"/>
  <c r="U70" i="10"/>
  <c r="R37" i="10"/>
  <c r="W68" i="10"/>
  <c r="W65" i="10"/>
  <c r="V65" i="10"/>
  <c r="W56" i="10"/>
  <c r="S70" i="10"/>
  <c r="P37" i="10"/>
  <c r="M57" i="10"/>
  <c r="K56" i="10"/>
  <c r="M70" i="10"/>
  <c r="N58" i="10"/>
  <c r="O37" i="10"/>
  <c r="U65" i="10"/>
  <c r="M54" i="10"/>
  <c r="V56" i="10"/>
  <c r="R65" i="10"/>
  <c r="O54" i="10"/>
  <c r="T56" i="10"/>
  <c r="P70" i="10"/>
  <c r="R58" i="10"/>
  <c r="W37" i="10"/>
  <c r="T65" i="10"/>
  <c r="P65" i="10"/>
  <c r="N54" i="10"/>
  <c r="S56" i="10"/>
  <c r="L70" i="10"/>
  <c r="P58" i="10"/>
  <c r="K37" i="10"/>
  <c r="S65" i="10"/>
  <c r="M65" i="10"/>
  <c r="K54" i="10"/>
  <c r="O50" i="10"/>
  <c r="R56" i="10"/>
  <c r="M58" i="10"/>
  <c r="N37" i="10"/>
  <c r="O65" i="10"/>
  <c r="L65" i="10"/>
  <c r="R53" i="10"/>
  <c r="W46" i="10"/>
  <c r="M62" i="10"/>
  <c r="Q68" i="10"/>
  <c r="S57" i="10"/>
  <c r="W41" i="10"/>
  <c r="N71" i="10"/>
  <c r="N56" i="10"/>
  <c r="Q53" i="10"/>
  <c r="Q46" i="10"/>
  <c r="M52" i="10"/>
  <c r="O62" i="10"/>
  <c r="V37" i="10"/>
  <c r="P68" i="10"/>
  <c r="R57" i="10"/>
  <c r="N68" i="10"/>
  <c r="K41" i="10"/>
  <c r="P53" i="10"/>
  <c r="N52" i="10"/>
  <c r="W62" i="10"/>
  <c r="L62" i="10"/>
  <c r="M68" i="10"/>
  <c r="N57" i="10"/>
  <c r="T41" i="10"/>
  <c r="V41" i="10"/>
  <c r="L71" i="10"/>
  <c r="Q56" i="10"/>
  <c r="O53" i="10"/>
  <c r="M46" i="10"/>
  <c r="L52" i="10"/>
  <c r="K62" i="10"/>
  <c r="S37" i="10"/>
  <c r="U37" i="10"/>
  <c r="O68" i="10"/>
  <c r="Q57" i="10"/>
  <c r="N62" i="10"/>
  <c r="T57" i="10"/>
  <c r="P46" i="10"/>
  <c r="S41" i="10"/>
  <c r="O71" i="10"/>
  <c r="P56" i="10"/>
  <c r="O46" i="10"/>
  <c r="R52" i="10"/>
  <c r="V62" i="10"/>
  <c r="T37" i="10"/>
  <c r="V40" i="10"/>
  <c r="L68" i="10"/>
  <c r="P57" i="10"/>
  <c r="V46" i="10"/>
  <c r="P52" i="10"/>
  <c r="R62" i="10"/>
  <c r="K68" i="10"/>
  <c r="O57" i="10"/>
  <c r="L57" i="10"/>
  <c r="K57" i="10"/>
  <c r="W57" i="10"/>
  <c r="T46" i="10"/>
  <c r="Q62" i="10"/>
  <c r="S68" i="10"/>
  <c r="V57" i="10"/>
  <c r="N53" i="10"/>
  <c r="Q58" i="10"/>
  <c r="N40" i="10"/>
  <c r="N50" i="10"/>
  <c r="L53" i="10"/>
  <c r="K52" i="10"/>
  <c r="K58" i="10"/>
  <c r="M40" i="10"/>
  <c r="Q40" i="10"/>
  <c r="O52" i="10"/>
  <c r="W58" i="10"/>
  <c r="W50" i="10"/>
  <c r="W53" i="10"/>
  <c r="V52" i="10"/>
  <c r="V58" i="10"/>
  <c r="O40" i="10"/>
  <c r="U58" i="10"/>
  <c r="K53" i="10"/>
  <c r="U52" i="10"/>
  <c r="L40" i="10"/>
  <c r="U53" i="10"/>
  <c r="V53" i="10"/>
  <c r="T52" i="10"/>
  <c r="T58" i="10"/>
  <c r="W40" i="10"/>
  <c r="S52" i="10"/>
  <c r="S58" i="10"/>
  <c r="K40" i="10"/>
  <c r="U40" i="10"/>
  <c r="S40" i="10"/>
  <c r="P51" i="10"/>
  <c r="Q51" i="10"/>
  <c r="R51" i="10"/>
  <c r="S51" i="10"/>
  <c r="T51" i="10"/>
  <c r="N51" i="10"/>
  <c r="O51" i="10"/>
  <c r="U51" i="10"/>
  <c r="V51" i="10"/>
  <c r="M51" i="10"/>
  <c r="K51" i="10"/>
  <c r="W51" i="10"/>
  <c r="L51" i="10"/>
  <c r="O64" i="10"/>
  <c r="M64" i="10"/>
  <c r="P64" i="10"/>
  <c r="Q64" i="10"/>
  <c r="R64" i="10"/>
  <c r="S64" i="10"/>
  <c r="T64" i="10"/>
  <c r="L64" i="10"/>
  <c r="U64" i="10"/>
  <c r="V64" i="10"/>
  <c r="K64" i="10"/>
  <c r="W64" i="10"/>
  <c r="N64" i="10"/>
  <c r="R39" i="10"/>
  <c r="S39" i="10"/>
  <c r="T39" i="10"/>
  <c r="U39" i="10"/>
  <c r="V39" i="10"/>
  <c r="K39" i="10"/>
  <c r="W39" i="10"/>
  <c r="Q39" i="10"/>
  <c r="L39" i="10"/>
  <c r="N39" i="10"/>
  <c r="O39" i="10"/>
  <c r="M39" i="10"/>
  <c r="P39" i="10"/>
  <c r="R48" i="10"/>
  <c r="S48" i="10"/>
  <c r="T48" i="10"/>
  <c r="V48" i="10"/>
  <c r="Q48" i="10"/>
  <c r="U48" i="10"/>
  <c r="K48" i="10"/>
  <c r="W48" i="10"/>
  <c r="L48" i="10"/>
  <c r="O48" i="10"/>
  <c r="M48" i="10"/>
  <c r="P48" i="10"/>
  <c r="N48" i="10"/>
  <c r="N67" i="10"/>
  <c r="S67" i="10"/>
  <c r="T67" i="10"/>
  <c r="U67" i="10"/>
  <c r="V67" i="10"/>
  <c r="K67" i="10"/>
  <c r="W67" i="10"/>
  <c r="L67" i="10"/>
  <c r="O67" i="10"/>
  <c r="M67" i="10"/>
  <c r="P67" i="10"/>
  <c r="R67" i="10"/>
  <c r="Q67" i="10"/>
  <c r="N69" i="10"/>
  <c r="L69" i="10"/>
  <c r="O69" i="10"/>
  <c r="P69" i="10"/>
  <c r="Q69" i="10"/>
  <c r="S69" i="10"/>
  <c r="R69" i="10"/>
  <c r="T69" i="10"/>
  <c r="M69" i="10"/>
  <c r="U69" i="10"/>
  <c r="V69" i="10"/>
  <c r="W69" i="10"/>
  <c r="K69" i="10"/>
  <c r="Q36" i="10"/>
  <c r="R36" i="10"/>
  <c r="S36" i="10"/>
  <c r="T36" i="10"/>
  <c r="U36" i="10"/>
  <c r="V36" i="10"/>
  <c r="K36" i="10"/>
  <c r="W36" i="10"/>
  <c r="L36" i="10"/>
  <c r="O36" i="10"/>
  <c r="M36" i="10"/>
  <c r="P36" i="10"/>
  <c r="N36" i="10"/>
  <c r="S60" i="10"/>
  <c r="T60" i="10"/>
  <c r="U60" i="10"/>
  <c r="V60" i="10"/>
  <c r="K60" i="10"/>
  <c r="W60" i="10"/>
  <c r="M60" i="10"/>
  <c r="O60" i="10"/>
  <c r="L60" i="10"/>
  <c r="P60" i="10"/>
  <c r="Q60" i="10"/>
  <c r="N60" i="10"/>
  <c r="R60" i="10"/>
  <c r="O49" i="10"/>
  <c r="M49" i="10"/>
  <c r="P49" i="10"/>
  <c r="Q49" i="10"/>
  <c r="N49" i="10"/>
  <c r="R49" i="10"/>
  <c r="S49" i="10"/>
  <c r="T49" i="10"/>
  <c r="U49" i="10"/>
  <c r="V49" i="10"/>
  <c r="L49" i="10"/>
  <c r="K49" i="10"/>
  <c r="W49" i="10"/>
  <c r="R61" i="10"/>
  <c r="S61" i="10"/>
  <c r="T61" i="10"/>
  <c r="U61" i="10"/>
  <c r="N61" i="10"/>
  <c r="V61" i="10"/>
  <c r="M61" i="10"/>
  <c r="K61" i="10"/>
  <c r="W61" i="10"/>
  <c r="O61" i="10"/>
  <c r="L61" i="10"/>
  <c r="Q61" i="10"/>
  <c r="P61" i="10"/>
  <c r="O43" i="10"/>
  <c r="M43" i="10"/>
  <c r="P43" i="10"/>
  <c r="Q43" i="10"/>
  <c r="R43" i="10"/>
  <c r="S43" i="10"/>
  <c r="N43" i="10"/>
  <c r="T43" i="10"/>
  <c r="U43" i="10"/>
  <c r="V43" i="10"/>
  <c r="K43" i="10"/>
  <c r="L43" i="10"/>
  <c r="W43" i="10"/>
  <c r="N45" i="10"/>
  <c r="K45" i="10"/>
  <c r="W45" i="10"/>
  <c r="L45" i="10"/>
  <c r="O45" i="10"/>
  <c r="M45" i="10"/>
  <c r="P45" i="10"/>
  <c r="Q45" i="10"/>
  <c r="R45" i="10"/>
  <c r="S45" i="10"/>
  <c r="T45" i="10"/>
  <c r="V45" i="10"/>
  <c r="U45" i="10"/>
  <c r="T63" i="10"/>
  <c r="U63" i="10"/>
  <c r="V63" i="10"/>
  <c r="K63" i="10"/>
  <c r="W63" i="10"/>
  <c r="L63" i="10"/>
  <c r="N63" i="10"/>
  <c r="O63" i="10"/>
  <c r="M63" i="10"/>
  <c r="P63" i="10"/>
  <c r="Q63" i="10"/>
  <c r="R63" i="10"/>
  <c r="S63" i="10"/>
  <c r="P47" i="10"/>
  <c r="Q47" i="10"/>
  <c r="R47" i="10"/>
  <c r="S47" i="10"/>
  <c r="T47" i="10"/>
  <c r="U47" i="10"/>
  <c r="V47" i="10"/>
  <c r="K47" i="10"/>
  <c r="W47" i="10"/>
  <c r="L47" i="10"/>
  <c r="N47" i="10"/>
  <c r="O47" i="10"/>
  <c r="M47" i="10"/>
  <c r="T38" i="10"/>
  <c r="N38" i="10"/>
  <c r="U38" i="10"/>
  <c r="V38" i="10"/>
  <c r="K38" i="10"/>
  <c r="W38" i="10"/>
  <c r="L38" i="10"/>
  <c r="O38" i="10"/>
  <c r="M38" i="10"/>
  <c r="P38" i="10"/>
  <c r="Q38" i="10"/>
  <c r="R38" i="10"/>
  <c r="S38" i="10"/>
  <c r="Q44" i="10"/>
  <c r="N44" i="10"/>
  <c r="R44" i="10"/>
  <c r="S44" i="10"/>
  <c r="T44" i="10"/>
  <c r="U44" i="10"/>
  <c r="V44" i="10"/>
  <c r="K44" i="10"/>
  <c r="W44" i="10"/>
  <c r="L44" i="10"/>
  <c r="O44" i="10"/>
  <c r="M44" i="10"/>
  <c r="P44" i="10"/>
  <c r="U66" i="10"/>
  <c r="V66" i="10"/>
  <c r="K66" i="10"/>
  <c r="W66" i="10"/>
  <c r="L66" i="10"/>
  <c r="M66" i="10"/>
  <c r="O66" i="10"/>
  <c r="P66" i="10"/>
  <c r="N66" i="10"/>
  <c r="Q66" i="10"/>
  <c r="R66" i="10"/>
  <c r="S66" i="10"/>
  <c r="T66" i="10"/>
  <c r="P42" i="10"/>
  <c r="Q42" i="10"/>
  <c r="R42" i="10"/>
  <c r="S42" i="10"/>
  <c r="T42" i="10"/>
  <c r="U42" i="10"/>
  <c r="V42" i="10"/>
  <c r="K42" i="10"/>
  <c r="W42" i="10"/>
  <c r="L42" i="10"/>
  <c r="O42" i="10"/>
  <c r="M42" i="10"/>
  <c r="N42" i="10"/>
  <c r="P35" i="10"/>
  <c r="T35" i="10"/>
  <c r="V35" i="10"/>
  <c r="Q35" i="10"/>
  <c r="R35" i="10"/>
  <c r="W35" i="10"/>
  <c r="N35" i="10"/>
  <c r="L35" i="10"/>
  <c r="O35" i="10"/>
  <c r="S35" i="10"/>
  <c r="U35" i="10"/>
  <c r="M35" i="10"/>
  <c r="K35" i="10"/>
  <c r="Y35" i="10"/>
  <c r="Y33" i="10"/>
  <c r="Y27" i="10"/>
  <c r="Y29" i="10"/>
  <c r="Y26" i="10"/>
  <c r="AC33" i="10"/>
  <c r="E33" i="10" s="1"/>
  <c r="U33" i="10" s="1"/>
  <c r="AC26" i="10"/>
  <c r="E26" i="10" s="1"/>
  <c r="M26" i="10" s="1"/>
  <c r="F32" i="10"/>
  <c r="J25" i="10"/>
  <c r="H25" i="10"/>
  <c r="F25" i="10" s="1"/>
  <c r="AC27" i="10"/>
  <c r="E27" i="10" s="1"/>
  <c r="N27" i="10" s="1"/>
  <c r="AC29" i="10"/>
  <c r="E29" i="10" s="1"/>
  <c r="T29" i="10" s="1"/>
  <c r="T28" i="10"/>
  <c r="L28" i="10"/>
  <c r="P28" i="10"/>
  <c r="R28" i="10"/>
  <c r="V28" i="10"/>
  <c r="M28" i="10"/>
  <c r="S28" i="10"/>
  <c r="U28" i="10"/>
  <c r="W28" i="10"/>
  <c r="O28" i="10"/>
  <c r="Q28" i="10"/>
  <c r="K28" i="10"/>
  <c r="N30" i="10"/>
  <c r="L30" i="10"/>
  <c r="S30" i="10"/>
  <c r="O30" i="10"/>
  <c r="R30" i="10"/>
  <c r="K30" i="10"/>
  <c r="M30" i="10"/>
  <c r="Q30" i="10"/>
  <c r="P30" i="10"/>
  <c r="W30" i="10"/>
  <c r="V30" i="10"/>
  <c r="T30" i="10"/>
  <c r="H31" i="10"/>
  <c r="J31" i="10"/>
  <c r="F34" i="10"/>
  <c r="V33" i="10" l="1"/>
  <c r="Q33" i="10"/>
  <c r="Y34" i="10"/>
  <c r="Y32" i="10"/>
  <c r="Y25" i="10"/>
  <c r="M33" i="10"/>
  <c r="S33" i="10"/>
  <c r="T33" i="10"/>
  <c r="K33" i="10"/>
  <c r="W33" i="10"/>
  <c r="L33" i="10"/>
  <c r="P33" i="10"/>
  <c r="R33" i="10"/>
  <c r="O33" i="10"/>
  <c r="N33" i="10"/>
  <c r="T26" i="10"/>
  <c r="P26" i="10"/>
  <c r="S26" i="10"/>
  <c r="U26" i="10"/>
  <c r="L26" i="10"/>
  <c r="R26" i="10"/>
  <c r="W26" i="10"/>
  <c r="V26" i="10"/>
  <c r="O26" i="10"/>
  <c r="K26" i="10"/>
  <c r="N26" i="10"/>
  <c r="Q26" i="10"/>
  <c r="AC32" i="10"/>
  <c r="E32" i="10" s="1"/>
  <c r="AC25" i="10"/>
  <c r="E25" i="10" s="1"/>
  <c r="N25" i="10" s="1"/>
  <c r="E20" i="10"/>
  <c r="AC34" i="10"/>
  <c r="E34" i="10" s="1"/>
  <c r="V34" i="10" s="1"/>
  <c r="T27" i="10"/>
  <c r="L27" i="10"/>
  <c r="O27" i="10"/>
  <c r="V27" i="10"/>
  <c r="W27" i="10"/>
  <c r="M27" i="10"/>
  <c r="K27" i="10"/>
  <c r="R27" i="10"/>
  <c r="Q27" i="10"/>
  <c r="P27" i="10"/>
  <c r="S27" i="10"/>
  <c r="U27" i="10"/>
  <c r="R29" i="10"/>
  <c r="M29" i="10"/>
  <c r="Q29" i="10"/>
  <c r="O29" i="10"/>
  <c r="V29" i="10"/>
  <c r="K29" i="10"/>
  <c r="W29" i="10"/>
  <c r="S29" i="10"/>
  <c r="P29" i="10"/>
  <c r="L29" i="10"/>
  <c r="N29" i="10"/>
  <c r="U29" i="10"/>
  <c r="F31" i="10"/>
  <c r="Y31" i="10" l="1"/>
  <c r="M32" i="10"/>
  <c r="L32" i="10"/>
  <c r="O32" i="10"/>
  <c r="P32" i="10"/>
  <c r="T32" i="10"/>
  <c r="W32" i="10"/>
  <c r="V32" i="10"/>
  <c r="U32" i="10"/>
  <c r="Q32" i="10"/>
  <c r="S32" i="10"/>
  <c r="R32" i="10"/>
  <c r="N32" i="10"/>
  <c r="K32" i="10"/>
  <c r="R25" i="10"/>
  <c r="U25" i="10"/>
  <c r="P25" i="10"/>
  <c r="V25" i="10"/>
  <c r="K25" i="10"/>
  <c r="W25" i="10"/>
  <c r="T25" i="10"/>
  <c r="Q25" i="10"/>
  <c r="M25" i="10"/>
  <c r="O25" i="10"/>
  <c r="L25" i="10"/>
  <c r="S25" i="10"/>
  <c r="O34" i="10"/>
  <c r="U34" i="10"/>
  <c r="S34" i="10"/>
  <c r="N34" i="10"/>
  <c r="T34" i="10"/>
  <c r="P34" i="10"/>
  <c r="L34" i="10"/>
  <c r="R34" i="10"/>
  <c r="K34" i="10"/>
  <c r="Q34" i="10"/>
  <c r="W34" i="10"/>
  <c r="M34" i="10"/>
  <c r="AC31" i="10"/>
  <c r="E31" i="10" s="1"/>
  <c r="S31" i="10" s="1"/>
  <c r="R22" i="10" l="1"/>
  <c r="S22" i="10"/>
  <c r="E14" i="10" s="1"/>
  <c r="U17" i="10"/>
  <c r="L31" i="10"/>
  <c r="L22" i="10" s="1"/>
  <c r="Q31" i="10"/>
  <c r="Q22" i="10" s="1"/>
  <c r="P31" i="10"/>
  <c r="P22" i="10" s="1"/>
  <c r="W31" i="10"/>
  <c r="W22" i="10" s="1"/>
  <c r="T31" i="10"/>
  <c r="T22" i="10" s="1"/>
  <c r="R31" i="10"/>
  <c r="M31" i="10"/>
  <c r="M22" i="10" s="1"/>
  <c r="U31" i="10"/>
  <c r="U22" i="10" s="1"/>
  <c r="K31" i="10"/>
  <c r="K22" i="10" s="1"/>
  <c r="O31" i="10"/>
  <c r="O22" i="10" s="1"/>
  <c r="N31" i="10"/>
  <c r="N22" i="10" s="1"/>
  <c r="V31" i="10"/>
  <c r="V22" i="10" s="1"/>
  <c r="E10" i="10" l="1"/>
  <c r="E16" i="10"/>
  <c r="E12" i="10"/>
  <c r="E7" i="10"/>
  <c r="E6" i="10"/>
  <c r="E8" i="10"/>
  <c r="E11" i="10"/>
  <c r="E17" i="10"/>
  <c r="E9" i="10"/>
  <c r="E13" i="10"/>
  <c r="E15" i="10"/>
  <c r="E18" i="10"/>
  <c r="E19" i="10" l="1"/>
  <c r="F7" i="10" s="1"/>
  <c r="F13" i="10" l="1"/>
  <c r="F16" i="10"/>
  <c r="F20" i="10"/>
  <c r="F15" i="10"/>
  <c r="F18" i="10"/>
  <c r="F17" i="10"/>
  <c r="F12" i="10"/>
  <c r="F8" i="10"/>
  <c r="F14" i="10"/>
  <c r="F9" i="10"/>
  <c r="F6" i="10"/>
  <c r="F10" i="10"/>
  <c r="F11" i="10"/>
</calcChain>
</file>

<file path=xl/sharedStrings.xml><?xml version="1.0" encoding="utf-8"?>
<sst xmlns="http://schemas.openxmlformats.org/spreadsheetml/2006/main" count="1133" uniqueCount="525">
  <si>
    <t>No.</t>
  </si>
  <si>
    <t>Name</t>
  </si>
  <si>
    <t>Registration Number</t>
  </si>
  <si>
    <t>Name With Initials</t>
  </si>
  <si>
    <t>WE (100%)</t>
  </si>
  <si>
    <t>CA (100%)</t>
  </si>
  <si>
    <t>Registered For</t>
  </si>
  <si>
    <t>Total</t>
  </si>
  <si>
    <t>Grade</t>
  </si>
  <si>
    <t>Credit:</t>
  </si>
  <si>
    <t>GPA 3.0</t>
  </si>
  <si>
    <t>[Only light yellow areas may be filled]</t>
  </si>
  <si>
    <t>Summary</t>
  </si>
  <si>
    <t>Normal Range</t>
  </si>
  <si>
    <t>Minimum Actual</t>
  </si>
  <si>
    <t>%</t>
  </si>
  <si>
    <r>
      <rPr>
        <sz val="10"/>
        <color theme="1"/>
        <rFont val="Arial"/>
      </rPr>
      <t xml:space="preserve"> </t>
    </r>
    <r>
      <rPr>
        <b/>
        <u/>
        <sz val="10"/>
        <color theme="1"/>
        <rFont val="Arial"/>
      </rPr>
      <t>Examiner's Comments</t>
    </r>
  </si>
  <si>
    <t>A+</t>
  </si>
  <si>
    <t>85 and Above</t>
  </si>
  <si>
    <t>A</t>
  </si>
  <si>
    <t>75 to 84</t>
  </si>
  <si>
    <t>A-</t>
  </si>
  <si>
    <t>70 to 74</t>
  </si>
  <si>
    <t>B+</t>
  </si>
  <si>
    <t>65 to 69</t>
  </si>
  <si>
    <t>B</t>
  </si>
  <si>
    <t>60 to 64</t>
  </si>
  <si>
    <t>………………………….</t>
  </si>
  <si>
    <t>B-</t>
  </si>
  <si>
    <t>55 to 59</t>
  </si>
  <si>
    <t>Signature and Date</t>
  </si>
  <si>
    <t>C+</t>
  </si>
  <si>
    <t>50 to 54</t>
  </si>
  <si>
    <t>C</t>
  </si>
  <si>
    <t>45 to 49</t>
  </si>
  <si>
    <r>
      <rPr>
        <sz val="10"/>
        <color theme="1"/>
        <rFont val="Arial"/>
      </rPr>
      <t xml:space="preserve"> </t>
    </r>
    <r>
      <rPr>
        <b/>
        <u/>
        <sz val="10"/>
        <color theme="1"/>
        <rFont val="Arial"/>
      </rPr>
      <t>Moderator's Comments</t>
    </r>
  </si>
  <si>
    <t>C-</t>
  </si>
  <si>
    <t>40 to 44</t>
  </si>
  <si>
    <t>D</t>
  </si>
  <si>
    <t>35 to 39</t>
  </si>
  <si>
    <t>I</t>
  </si>
  <si>
    <t>34 and Below for either WE or CA</t>
  </si>
  <si>
    <t>F</t>
  </si>
  <si>
    <t>Below 34 for both WE and CA</t>
  </si>
  <si>
    <t>N</t>
  </si>
  <si>
    <t>Continuous Assessment &gt;=75%</t>
  </si>
  <si>
    <r>
      <rPr>
        <b/>
        <sz val="10"/>
        <color theme="1"/>
        <rFont val="Arial"/>
      </rPr>
      <t>Status</t>
    </r>
    <r>
      <rPr>
        <b/>
        <vertAlign val="superscript"/>
        <sz val="10"/>
        <color theme="1"/>
        <rFont val="Arial"/>
      </rPr>
      <t>*</t>
    </r>
  </si>
  <si>
    <t>Index No</t>
  </si>
  <si>
    <t>Moderated</t>
  </si>
  <si>
    <t>Calculated</t>
  </si>
  <si>
    <t>Final Marks</t>
  </si>
  <si>
    <t>Exam</t>
  </si>
  <si>
    <t>Continuous     Assesment</t>
  </si>
  <si>
    <t>Continuous Assesment</t>
  </si>
  <si>
    <t>Final</t>
  </si>
  <si>
    <t>&gt;=75%</t>
  </si>
  <si>
    <t>Repeat Grade</t>
  </si>
  <si>
    <t xml:space="preserve">N - </t>
  </si>
  <si>
    <t>Academic concession</t>
  </si>
  <si>
    <t xml:space="preserve">PF - </t>
  </si>
  <si>
    <t>Previous attempt - Fail</t>
  </si>
  <si>
    <t xml:space="preserve">PI - </t>
  </si>
  <si>
    <t>Previous attempt - Incomplete</t>
  </si>
  <si>
    <t xml:space="preserve">U - </t>
  </si>
  <si>
    <t>Upgrade</t>
  </si>
  <si>
    <t xml:space="preserve">** - </t>
  </si>
  <si>
    <t>Upgrade student, check the previous result</t>
  </si>
  <si>
    <t>Detail Marks of Exam</t>
  </si>
  <si>
    <t>Exam Total</t>
  </si>
  <si>
    <t>Continous Assessment</t>
  </si>
  <si>
    <t>Module Code :EN1060</t>
  </si>
  <si>
    <t>Module : Signals and Systems</t>
  </si>
  <si>
    <t/>
  </si>
  <si>
    <t>Last name</t>
  </si>
  <si>
    <t>ID number</t>
  </si>
  <si>
    <t>Institution</t>
  </si>
  <si>
    <t>Department</t>
  </si>
  <si>
    <t>Email address</t>
  </si>
  <si>
    <t>Course total (Real)</t>
  </si>
  <si>
    <t>Last downloaded from this course</t>
  </si>
  <si>
    <t>-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</si>
  <si>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</si>
  <si>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</si>
  <si>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</si>
  <si>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</si>
  <si>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</si>
  <si>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</si>
  <si>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</si>
  <si>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</si>
  <si>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</si>
  <si>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</si>
  <si>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</si>
  <si>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</si>
  <si>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Sum</t>
  </si>
  <si>
    <t>1d</t>
  </si>
  <si>
    <t>2d</t>
  </si>
  <si>
    <t>3d</t>
  </si>
  <si>
    <t>4d</t>
  </si>
  <si>
    <t>Paper Presentation (Real)</t>
  </si>
  <si>
    <t>Name with Initials</t>
  </si>
  <si>
    <t>Electronic and Telecommunication Engineering</t>
  </si>
  <si>
    <t>210005H</t>
  </si>
  <si>
    <t>ABEYRATHNA S.M.S.M.B.</t>
  </si>
  <si>
    <t>210612P</t>
  </si>
  <si>
    <t>SIRIWARDANE C.</t>
  </si>
  <si>
    <t>Project total (Real)</t>
  </si>
  <si>
    <t>39238</t>
  </si>
  <si>
    <t>abeyrathnasmsmb.21@uom.lk</t>
  </si>
  <si>
    <t>39844</t>
  </si>
  <si>
    <t>siriwardanec.21@uom.lk</t>
  </si>
  <si>
    <t>200370K</t>
  </si>
  <si>
    <t>MADUWANTHA L.H.H.</t>
  </si>
  <si>
    <t>210003B</t>
  </si>
  <si>
    <t>ABEWICKREMA A.S.J.</t>
  </si>
  <si>
    <t>210014J</t>
  </si>
  <si>
    <t>ABEYWARDANA K.D.W.</t>
  </si>
  <si>
    <t>210019E</t>
  </si>
  <si>
    <t>ABITHAN A.</t>
  </si>
  <si>
    <t>210021D</t>
  </si>
  <si>
    <t>ADIKARAM W.K.D.N.E.</t>
  </si>
  <si>
    <t>210022G</t>
  </si>
  <si>
    <t>ADIKARI A.A.S.D.</t>
  </si>
  <si>
    <t>210027C</t>
  </si>
  <si>
    <t>ALAHAKOON U.M.Y.B.</t>
  </si>
  <si>
    <t>210031H</t>
  </si>
  <si>
    <t>AMARASINGHE A.A.W.L.R.</t>
  </si>
  <si>
    <t>210035A</t>
  </si>
  <si>
    <t>AMARASINGHE Y.W.S.P.</t>
  </si>
  <si>
    <t>210036D</t>
  </si>
  <si>
    <t>AMARASURIYA G.N.</t>
  </si>
  <si>
    <t>210037G</t>
  </si>
  <si>
    <t>AMARATHUNGA D.N.</t>
  </si>
  <si>
    <t>210041M</t>
  </si>
  <si>
    <t>AMUGODA A.S.S.</t>
  </si>
  <si>
    <t>210069F</t>
  </si>
  <si>
    <t>BASNAYAKE B.Y.N.</t>
  </si>
  <si>
    <t>210071E</t>
  </si>
  <si>
    <t>BOTHEJU W.G.W.</t>
  </si>
  <si>
    <t>210075U</t>
  </si>
  <si>
    <t>CHANDRAJITH B.P.L.</t>
  </si>
  <si>
    <t>210088L</t>
  </si>
  <si>
    <t>COORAY P.L.L.K.</t>
  </si>
  <si>
    <t>210089P</t>
  </si>
  <si>
    <t>DABARE A.D.T.</t>
  </si>
  <si>
    <t>210095F</t>
  </si>
  <si>
    <t>DASSANAYAKE D.M.T.K.R.</t>
  </si>
  <si>
    <t>210097M</t>
  </si>
  <si>
    <t>DE SILVA A.N.T.</t>
  </si>
  <si>
    <t>210108C</t>
  </si>
  <si>
    <t>DE ZOYSA A.K.N.</t>
  </si>
  <si>
    <t>210121J</t>
  </si>
  <si>
    <t>DHARMADASA W.H.M.A.D.</t>
  </si>
  <si>
    <t>210130K</t>
  </si>
  <si>
    <t>DILUSHANA H.M.P.S.</t>
  </si>
  <si>
    <t>210131N</t>
  </si>
  <si>
    <t>DIMAGI D.H.P.</t>
  </si>
  <si>
    <t>210140P</t>
  </si>
  <si>
    <t>DISSANAYAKA D.M.P.C.</t>
  </si>
  <si>
    <t>210141U</t>
  </si>
  <si>
    <t>DISSANAYAKA D.M.S.P.</t>
  </si>
  <si>
    <t>210147T</t>
  </si>
  <si>
    <t>DISSANAYAKE D.M.S.D.</t>
  </si>
  <si>
    <t>210150V</t>
  </si>
  <si>
    <t>DODANGODA D.K.S.J.</t>
  </si>
  <si>
    <t>210152E</t>
  </si>
  <si>
    <t>DULNATH W.H.R.</t>
  </si>
  <si>
    <t>210153H</t>
  </si>
  <si>
    <t>EDIRISINGHE E.A.D.D.D.</t>
  </si>
  <si>
    <t>210156U</t>
  </si>
  <si>
    <t>EPA Y.L.A.</t>
  </si>
  <si>
    <t>210157A</t>
  </si>
  <si>
    <t>EPA Y.R.A.</t>
  </si>
  <si>
    <t>210162J</t>
  </si>
  <si>
    <t>FERNANDO N.I.S.P.</t>
  </si>
  <si>
    <t>210169L</t>
  </si>
  <si>
    <t>FERNANDO W.W.R.N.S.</t>
  </si>
  <si>
    <t>210174X</t>
  </si>
  <si>
    <t>GALLELLA M.M.H.H.B.</t>
  </si>
  <si>
    <t>210179R</t>
  </si>
  <si>
    <t>GAMMUNE D.J.T.</t>
  </si>
  <si>
    <t>210199D</t>
  </si>
  <si>
    <t>GUNAWARDANA W.N.M.</t>
  </si>
  <si>
    <t>210200C</t>
  </si>
  <si>
    <t>GUNAWARDANE E.R.N.H.</t>
  </si>
  <si>
    <t>210204R</t>
  </si>
  <si>
    <t>HANSINDU K.A.A.</t>
  </si>
  <si>
    <t>210212N</t>
  </si>
  <si>
    <t>HERATH B.H.M.K.S.B.</t>
  </si>
  <si>
    <t>210215C</t>
  </si>
  <si>
    <t>HERATH H.M.D.P.</t>
  </si>
  <si>
    <t>210218M</t>
  </si>
  <si>
    <t>HERATH H.M.S.I.</t>
  </si>
  <si>
    <t>210222U</t>
  </si>
  <si>
    <t>HEWAGAMAGE K.L.N.</t>
  </si>
  <si>
    <t>210234H</t>
  </si>
  <si>
    <t>JANANDITH W.A.O.</t>
  </si>
  <si>
    <t>210236P</t>
  </si>
  <si>
    <t>JAYAKUMAR W.S.</t>
  </si>
  <si>
    <t>210248E</t>
  </si>
  <si>
    <t>JAYASINGHE J.M.C.N.B.</t>
  </si>
  <si>
    <t>210253N</t>
  </si>
  <si>
    <t>JAYATHILAKA C.B.N.L.</t>
  </si>
  <si>
    <t>210254T</t>
  </si>
  <si>
    <t>JAYATHILAKA D.E.U.</t>
  </si>
  <si>
    <t>210258J</t>
  </si>
  <si>
    <t>JAYATHISSA R.M.K.C.</t>
  </si>
  <si>
    <t>210269T</t>
  </si>
  <si>
    <t>KALUNAYAKA K.A.A.K.L.</t>
  </si>
  <si>
    <t>210272V</t>
  </si>
  <si>
    <t>KARAVITA K.V.D.T.N.</t>
  </si>
  <si>
    <t>210286R</t>
  </si>
  <si>
    <t>KELAART D.J.</t>
  </si>
  <si>
    <t>210292G</t>
  </si>
  <si>
    <t>KIRUSHANTH G.</t>
  </si>
  <si>
    <t>210293K</t>
  </si>
  <si>
    <t>KODIKARA U.S.S.</t>
  </si>
  <si>
    <t>210294N</t>
  </si>
  <si>
    <t>KODITHUWAKKU J.N.</t>
  </si>
  <si>
    <t>210303U</t>
  </si>
  <si>
    <t>KULASINGHAM P.N.</t>
  </si>
  <si>
    <t>210311R</t>
  </si>
  <si>
    <t>KUMARA R.P.D.R.</t>
  </si>
  <si>
    <t>210325M</t>
  </si>
  <si>
    <t>KURUPPU M.P</t>
  </si>
  <si>
    <t>210341H</t>
  </si>
  <si>
    <t>LIYANAARACHCHI L.A.S.</t>
  </si>
  <si>
    <t>210344U</t>
  </si>
  <si>
    <t>LIYANAGE P.L.D.S.K.</t>
  </si>
  <si>
    <t>210346D</t>
  </si>
  <si>
    <t>LOKUDADALLA L.D.S.D.</t>
  </si>
  <si>
    <t>210349N</t>
  </si>
  <si>
    <t>MADHUSHAN I.D.</t>
  </si>
  <si>
    <t>210378C</t>
  </si>
  <si>
    <t>MAPALAGAMA O.N.</t>
  </si>
  <si>
    <t>210391J</t>
  </si>
  <si>
    <t>MORAWAKGODA M.K.I.G.</t>
  </si>
  <si>
    <t>210418C</t>
  </si>
  <si>
    <t>NAYANTHARA J.N.P.</t>
  </si>
  <si>
    <t>210433R</t>
  </si>
  <si>
    <t>NIROSHAN E.M.A.R.</t>
  </si>
  <si>
    <t>210436E</t>
  </si>
  <si>
    <t>NIROSHANA H.K.Y.</t>
  </si>
  <si>
    <t>210452A</t>
  </si>
  <si>
    <t>PATHIRANA S.M.V.</t>
  </si>
  <si>
    <t>210454G</t>
  </si>
  <si>
    <t>PEIRIS D.L.C.J.</t>
  </si>
  <si>
    <t>210463H</t>
  </si>
  <si>
    <t>PERERA L.C.S.</t>
  </si>
  <si>
    <t>210465P</t>
  </si>
  <si>
    <t>PERERA M.D.B.</t>
  </si>
  <si>
    <t>210476B</t>
  </si>
  <si>
    <t>PIRAGASH P.</t>
  </si>
  <si>
    <t>210479L</t>
  </si>
  <si>
    <t>PITIWADUGE R.P.</t>
  </si>
  <si>
    <t>210486F</t>
  </si>
  <si>
    <t>PRABHASHANA M.R.M.</t>
  </si>
  <si>
    <t>210490L</t>
  </si>
  <si>
    <t>PRABODHA K.P.K.A.</t>
  </si>
  <si>
    <t>210498T</t>
  </si>
  <si>
    <t>PRIYANKAN V.</t>
  </si>
  <si>
    <t>210503H</t>
  </si>
  <si>
    <t>RAJAPAKSHA I.P.D.D.</t>
  </si>
  <si>
    <t>210504L</t>
  </si>
  <si>
    <t>RAJAPAKSHA N.N.</t>
  </si>
  <si>
    <t>210512J</t>
  </si>
  <si>
    <t>RAMANAYAKE R.P.G.K.</t>
  </si>
  <si>
    <t>210533A</t>
  </si>
  <si>
    <t>RATHNAMALALA T.N.S.</t>
  </si>
  <si>
    <t>210542B</t>
  </si>
  <si>
    <t>RATNAYAKE R.M.L.H.</t>
  </si>
  <si>
    <t>210557B</t>
  </si>
  <si>
    <t>SAMARANAYAKE G.D.C.</t>
  </si>
  <si>
    <t>210559H</t>
  </si>
  <si>
    <t>SAMARANAYAKE M.A.S.</t>
  </si>
  <si>
    <t>210583B</t>
  </si>
  <si>
    <t>SEHARA G.M.M.</t>
  </si>
  <si>
    <t>210594J</t>
  </si>
  <si>
    <t>SENAVIRATHNE I.U.B.</t>
  </si>
  <si>
    <t>210599E</t>
  </si>
  <si>
    <t>SHAMAL G.B.A.</t>
  </si>
  <si>
    <t>210605X</t>
  </si>
  <si>
    <t>SHEHAN M.K.J.</t>
  </si>
  <si>
    <t>210608J</t>
  </si>
  <si>
    <t>SILVA L.J.J.P.</t>
  </si>
  <si>
    <t>210610H</t>
  </si>
  <si>
    <t>SIRIMANNA N.T.W.</t>
  </si>
  <si>
    <t>210624E</t>
  </si>
  <si>
    <t>SUNDARBAVAN T.</t>
  </si>
  <si>
    <t>210625H</t>
  </si>
  <si>
    <t>SURENDRA S.A.J.E.</t>
  </si>
  <si>
    <t>210629A</t>
  </si>
  <si>
    <t>THAMIRAWARAN S.</t>
  </si>
  <si>
    <t>210642G</t>
  </si>
  <si>
    <t>THENNAKOON T.M.K.R.</t>
  </si>
  <si>
    <t>210668P</t>
  </si>
  <si>
    <t>VIDMAL H.V.P.</t>
  </si>
  <si>
    <t>210679B</t>
  </si>
  <si>
    <t>WANNIARACHCHI W.A.D.N.M.</t>
  </si>
  <si>
    <t>210699K</t>
  </si>
  <si>
    <t>WICKRAMAARACHCHI W.C.A.</t>
  </si>
  <si>
    <t>210703V</t>
  </si>
  <si>
    <t>WICKRAMARATHNE M.P.</t>
  </si>
  <si>
    <t>210705E</t>
  </si>
  <si>
    <t>WICKRAMASINGHA M.P.D.N.</t>
  </si>
  <si>
    <t>210720U</t>
  </si>
  <si>
    <t>WIJESINGHE C.D.</t>
  </si>
  <si>
    <t>210732H</t>
  </si>
  <si>
    <t>WITHANAWASAM I.A.</t>
  </si>
  <si>
    <t>Quiz: Q01 on Introduction (Real)</t>
  </si>
  <si>
    <t>Quiz: Q02 Image Classification (Real)</t>
  </si>
  <si>
    <t>Quiz: Q03 Convolutional Neural Networks (Real)</t>
  </si>
  <si>
    <t>Quiz: Q04 Linear Networks (Real)</t>
  </si>
  <si>
    <t>Quiz: Q06 Backpropagation (Real)</t>
  </si>
  <si>
    <t>Quiz: Q09 Object Detection (Real)</t>
  </si>
  <si>
    <t>Quiz: Q10 Attention in Vision (Real)</t>
  </si>
  <si>
    <t>Quiz: Q11 Image Segmentation (Real)</t>
  </si>
  <si>
    <t>Quiz: Q12 Vision Language Models (Real)</t>
  </si>
  <si>
    <t>Quiz: Q13 Diffusion Models (Real)</t>
  </si>
  <si>
    <t>Quizzes total (Real)</t>
  </si>
  <si>
    <t>Mid Semester Exam (Real)</t>
  </si>
  <si>
    <t>Project Final (Real)</t>
  </si>
  <si>
    <t>35333</t>
  </si>
  <si>
    <t>maduwanthalhh.20@uom.lk</t>
  </si>
  <si>
    <t>1766912722</t>
  </si>
  <si>
    <t>39236</t>
  </si>
  <si>
    <t>abewickremaasj.21@uom.lk</t>
  </si>
  <si>
    <t>39247</t>
  </si>
  <si>
    <t>abeywardanakdw.21@uom.lk</t>
  </si>
  <si>
    <t>39252</t>
  </si>
  <si>
    <t>abithana.21@uom.lk</t>
  </si>
  <si>
    <t>39254</t>
  </si>
  <si>
    <t>adikaramwkdne.21@uom.lk</t>
  </si>
  <si>
    <t>39255</t>
  </si>
  <si>
    <t>adikariaasd.21@uom.lk</t>
  </si>
  <si>
    <t>39260</t>
  </si>
  <si>
    <t>alahakoonumyb.21@uom.lk</t>
  </si>
  <si>
    <t>39264</t>
  </si>
  <si>
    <t>amarasingheaawlr.21@uom.lk</t>
  </si>
  <si>
    <t>39268</t>
  </si>
  <si>
    <t>amarasingheywsp.21@uom.lk</t>
  </si>
  <si>
    <t>39269</t>
  </si>
  <si>
    <t>amarasuriyagn.21@uom.lk</t>
  </si>
  <si>
    <t>39270</t>
  </si>
  <si>
    <t>amarathungadn.21@uom.lk</t>
  </si>
  <si>
    <t>39274</t>
  </si>
  <si>
    <t>amugodaass.21@uom.lk</t>
  </si>
  <si>
    <t>39302</t>
  </si>
  <si>
    <t>basnayakebyn.21@uom.lk</t>
  </si>
  <si>
    <t>39304</t>
  </si>
  <si>
    <t>bothejuwgw.21@uom.lk</t>
  </si>
  <si>
    <t>39308</t>
  </si>
  <si>
    <t>chandrajithbpl.21@uom.lk</t>
  </si>
  <si>
    <t>39321</t>
  </si>
  <si>
    <t>cooraypllk.21@uom.lk</t>
  </si>
  <si>
    <t>39322</t>
  </si>
  <si>
    <t>ENTC</t>
  </si>
  <si>
    <t>dabareadt.21@uom.lk</t>
  </si>
  <si>
    <t>39328</t>
  </si>
  <si>
    <t>dassanayakedmtkr.21@uom.lk</t>
  </si>
  <si>
    <t>39330</t>
  </si>
  <si>
    <t>desilvaant.21@uom.lk</t>
  </si>
  <si>
    <t>39341</t>
  </si>
  <si>
    <t>dezoysaakn.21@uom.lk</t>
  </si>
  <si>
    <t>39354</t>
  </si>
  <si>
    <t>dharmadasawhmad.21@uom.lk</t>
  </si>
  <si>
    <t>39363</t>
  </si>
  <si>
    <t>dilushanahmps.21@uom.lk</t>
  </si>
  <si>
    <t>39364</t>
  </si>
  <si>
    <t>dimagidhp.21@uom.lk</t>
  </si>
  <si>
    <t>39373</t>
  </si>
  <si>
    <t>dissanayakadmpc.21@uom.lk</t>
  </si>
  <si>
    <t>39374</t>
  </si>
  <si>
    <t>dissanayakadmsp.21@uom.lk</t>
  </si>
  <si>
    <t>39380</t>
  </si>
  <si>
    <t>dissanayakedmsd.21@uom.lk</t>
  </si>
  <si>
    <t>39383</t>
  </si>
  <si>
    <t>dodangodadksj.21@uom.lk</t>
  </si>
  <si>
    <t>39385</t>
  </si>
  <si>
    <t>dulnathwhr.21@uom.lk</t>
  </si>
  <si>
    <t>39386</t>
  </si>
  <si>
    <t>edirisingheeaddd.21@uom.lk</t>
  </si>
  <si>
    <t>39389</t>
  </si>
  <si>
    <t>epayla.21@uom.lk</t>
  </si>
  <si>
    <t>39390</t>
  </si>
  <si>
    <t>epayra.21@uom.lk</t>
  </si>
  <si>
    <t>39395</t>
  </si>
  <si>
    <t>fernandonisp.21@uom.lk</t>
  </si>
  <si>
    <t>39402</t>
  </si>
  <si>
    <t>fernandowwrns.21@uom.lk</t>
  </si>
  <si>
    <t>39407</t>
  </si>
  <si>
    <t>gallellammhhb.21@uom.lk</t>
  </si>
  <si>
    <t>39412</t>
  </si>
  <si>
    <t>gammunedjt.21@uom.lk</t>
  </si>
  <si>
    <t>39432</t>
  </si>
  <si>
    <t>gunawardanawnm.21@uom.lk</t>
  </si>
  <si>
    <t>39433</t>
  </si>
  <si>
    <t>gunawardaneernh.21@uom.lk</t>
  </si>
  <si>
    <t>39437</t>
  </si>
  <si>
    <t>hansindukaa.21@uom.lk</t>
  </si>
  <si>
    <t>39445</t>
  </si>
  <si>
    <t>herathbhmksb.21@uom.lk</t>
  </si>
  <si>
    <t>39448</t>
  </si>
  <si>
    <t>herathhmdp.21@uom.lk</t>
  </si>
  <si>
    <t>39451</t>
  </si>
  <si>
    <t>herathhmsi.21@uom.lk</t>
  </si>
  <si>
    <t>39455</t>
  </si>
  <si>
    <t>hewagamagekln.21@uom.lk</t>
  </si>
  <si>
    <t>39467</t>
  </si>
  <si>
    <t>janandithwao.21@uom.lk</t>
  </si>
  <si>
    <t>39469</t>
  </si>
  <si>
    <t>jayakumarws.21@uom.lk</t>
  </si>
  <si>
    <t>39481</t>
  </si>
  <si>
    <t>jayasinghejmcnb.21@uom.lk</t>
  </si>
  <si>
    <t>39486</t>
  </si>
  <si>
    <t>jayathilakacbnl.21@uom.lk</t>
  </si>
  <si>
    <t>39487</t>
  </si>
  <si>
    <t>jayathilakadeu.21@uom.lk</t>
  </si>
  <si>
    <t>39491</t>
  </si>
  <si>
    <t>jayathissarmkc.21@uom.lk</t>
  </si>
  <si>
    <t>39502</t>
  </si>
  <si>
    <t>kalunayakakaakl.21@uom.lk</t>
  </si>
  <si>
    <t>39505</t>
  </si>
  <si>
    <t>karavitakvdtn.21@uom.lk</t>
  </si>
  <si>
    <t>39519</t>
  </si>
  <si>
    <t>kelaartdj.21@uom.lk</t>
  </si>
  <si>
    <t>39525</t>
  </si>
  <si>
    <t>kirushanthg.21@uom.lk</t>
  </si>
  <si>
    <t>39526</t>
  </si>
  <si>
    <t>kodikarauss.21@uom.lk</t>
  </si>
  <si>
    <t>39527</t>
  </si>
  <si>
    <t>kodithuwakkujn.21@uom.lk</t>
  </si>
  <si>
    <t>39536</t>
  </si>
  <si>
    <t>kulasinghampn.21@uom.lk</t>
  </si>
  <si>
    <t>39544</t>
  </si>
  <si>
    <t>kumararpdr.21@uom.lk</t>
  </si>
  <si>
    <t>39558</t>
  </si>
  <si>
    <t>kuruppump.21@uom.lk</t>
  </si>
  <si>
    <t>39574</t>
  </si>
  <si>
    <t>liyanaarachchilas.21@uom.lk</t>
  </si>
  <si>
    <t>39577</t>
  </si>
  <si>
    <t>liyanagepldsk.21@uom.lk</t>
  </si>
  <si>
    <t>39579</t>
  </si>
  <si>
    <t>lokudadallaldsd.21@uom.lk</t>
  </si>
  <si>
    <t>39582</t>
  </si>
  <si>
    <t>madhushanid.21@uom.lk</t>
  </si>
  <si>
    <t>39611</t>
  </si>
  <si>
    <t>mapalagamaon.21@uom.lk</t>
  </si>
  <si>
    <t>39624</t>
  </si>
  <si>
    <t>morawakgodamkig.21@uom.lk</t>
  </si>
  <si>
    <t>39651</t>
  </si>
  <si>
    <t>nayantharajnp.21@uom.lk</t>
  </si>
  <si>
    <t>39666</t>
  </si>
  <si>
    <t>niroshanemar.21@uom.lk</t>
  </si>
  <si>
    <t>39669</t>
  </si>
  <si>
    <t>niroshanahky.21@uom.lk</t>
  </si>
  <si>
    <t>39685</t>
  </si>
  <si>
    <t>pathiranasmv.21@uom.lk</t>
  </si>
  <si>
    <t>39687</t>
  </si>
  <si>
    <t>peirisdlcj.21@uom.lk</t>
  </si>
  <si>
    <t>39696</t>
  </si>
  <si>
    <t>pereralcs.21@uom.lk</t>
  </si>
  <si>
    <t>39698</t>
  </si>
  <si>
    <t>Computer Science &amp; Engineering</t>
  </si>
  <si>
    <t>pereramdb.21@uom.lk</t>
  </si>
  <si>
    <t>39708</t>
  </si>
  <si>
    <t>piragashp.21@uom.lk</t>
  </si>
  <si>
    <t>39711</t>
  </si>
  <si>
    <t>pitiwadugerp.21@uom.lk</t>
  </si>
  <si>
    <t>39718</t>
  </si>
  <si>
    <t>prabhashanamrm.21@uom.lk</t>
  </si>
  <si>
    <t>39722</t>
  </si>
  <si>
    <t>prabodhakpka.21@uom.lk</t>
  </si>
  <si>
    <t>39730</t>
  </si>
  <si>
    <t>priyankanv.21@uom.lk</t>
  </si>
  <si>
    <t>39735</t>
  </si>
  <si>
    <t>Electronic and Telecommunications</t>
  </si>
  <si>
    <t>rajapakshaipdd.21@uom.lk</t>
  </si>
  <si>
    <t>39736</t>
  </si>
  <si>
    <t>rajapakshann.21@uom.lk</t>
  </si>
  <si>
    <t>39744</t>
  </si>
  <si>
    <t>ramanayakerpgk.21@uom.lk</t>
  </si>
  <si>
    <t>39765</t>
  </si>
  <si>
    <t>rathnamalalatns.21@uom.lk</t>
  </si>
  <si>
    <t>39774</t>
  </si>
  <si>
    <t>ratnayakermlh.21@uom.lk</t>
  </si>
  <si>
    <t>39789</t>
  </si>
  <si>
    <t>samaranayakegdc.21@uom.lk</t>
  </si>
  <si>
    <t>39791</t>
  </si>
  <si>
    <t>samaranayakemas.21@uom.lk</t>
  </si>
  <si>
    <t>39815</t>
  </si>
  <si>
    <t>seharagmm.21@uom.lk</t>
  </si>
  <si>
    <t>39826</t>
  </si>
  <si>
    <t>senavirathneiub.21@uom.lk</t>
  </si>
  <si>
    <t>39831</t>
  </si>
  <si>
    <t>shamalgba.21@uom.lk</t>
  </si>
  <si>
    <t>39837</t>
  </si>
  <si>
    <t>shehanmkj.21@uom.lk</t>
  </si>
  <si>
    <t>39840</t>
  </si>
  <si>
    <t>silvaljjp.21@uom.lk</t>
  </si>
  <si>
    <t>39842</t>
  </si>
  <si>
    <t>sirimannantw.21@uom.lk</t>
  </si>
  <si>
    <t>39856</t>
  </si>
  <si>
    <t>sundarbavant.21@uom.lk</t>
  </si>
  <si>
    <t>39857</t>
  </si>
  <si>
    <t>surendrasaje.21@uom.lk</t>
  </si>
  <si>
    <t>39861</t>
  </si>
  <si>
    <t>thamirawarans.21@uom.lk</t>
  </si>
  <si>
    <t>39874</t>
  </si>
  <si>
    <t>thennakoontmkr.21@uom.lk</t>
  </si>
  <si>
    <t>39900</t>
  </si>
  <si>
    <t>vidmalhvp.21@uom.lk</t>
  </si>
  <si>
    <t>39911</t>
  </si>
  <si>
    <t>wanniarachchiwadnm.21@uom.lk</t>
  </si>
  <si>
    <t>39931</t>
  </si>
  <si>
    <t>wickramaarachchiwca.21@uom.lk</t>
  </si>
  <si>
    <t>39935</t>
  </si>
  <si>
    <t>wickramarathnemp.21@uom.lk</t>
  </si>
  <si>
    <t>39937</t>
  </si>
  <si>
    <t>wickramasinghampdn.21@uom.lk</t>
  </si>
  <si>
    <t>39952</t>
  </si>
  <si>
    <t>wijesinghecd.21@uom.lk</t>
  </si>
  <si>
    <t>39964</t>
  </si>
  <si>
    <t>withanawasamia.21@uom.lk</t>
  </si>
  <si>
    <t>Module Code :EN4554</t>
  </si>
  <si>
    <t>Module : Deep Learning for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</si>
</sst>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%"/>
    <numFmt numFmtId="166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color theme="1"/>
      <name val="Arial"/>
    </font>
    <font>
      <sz val="10"/>
      <name val="Arial"/>
    </font>
    <font>
      <b/>
      <u/>
      <sz val="10"/>
      <color theme="1"/>
      <name val="Arial"/>
    </font>
    <font>
      <sz val="10"/>
      <color rgb="FFFF0000"/>
      <name val="Arial"/>
    </font>
    <font>
      <sz val="10"/>
      <color theme="1"/>
      <name val="Calibri"/>
      <scheme val="minor"/>
    </font>
    <font>
      <b/>
      <vertAlign val="superscript"/>
      <sz val="10"/>
      <color theme="1"/>
      <name val="Arial"/>
    </font>
    <font>
      <b/>
      <sz val="8"/>
      <color theme="1"/>
      <name val="Arial"/>
    </font>
    <font>
      <sz val="10"/>
      <color rgb="FF000000"/>
      <name val="Calibri"/>
    </font>
    <font>
      <sz val="12"/>
      <color theme="1"/>
      <name val="Arial"/>
    </font>
    <font>
      <sz val="1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6">
    <xf numFmtId="0" fontId="0" fillId="0" borderId="0"/>
    <xf numFmtId="0" fontId="2" fillId="0" borderId="0"/>
    <xf numFmtId="0" fontId="15" fillId="0" borderId="0"/>
    <xf numFmtId="0" fontId="16" fillId="0" borderId="0"/>
    <xf numFmtId="0" fontId="22" fillId="11" borderId="0" applyNumberFormat="0" applyBorder="0" applyAlignment="0" applyProtection="0"/>
    <xf numFmtId="0" fontId="20" fillId="12" borderId="0" applyNumberFormat="0" applyBorder="0" applyAlignment="0" applyProtection="0"/>
  </cellStyleXfs>
  <cellXfs count="89">
    <xf numFmtId="0" fontId="0" fillId="0" borderId="0" xfId="0"/>
    <xf numFmtId="0" fontId="3" fillId="0" borderId="0" xfId="1" applyFont="1"/>
    <xf numFmtId="0" fontId="4" fillId="0" borderId="0" xfId="1" applyFont="1"/>
    <xf numFmtId="0" fontId="2" fillId="0" borderId="0" xfId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3" xfId="1" applyFont="1" applyBorder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5" fillId="3" borderId="2" xfId="1" applyFont="1" applyFill="1" applyBorder="1" applyAlignment="1">
      <alignment horizontal="center"/>
    </xf>
    <xf numFmtId="165" fontId="4" fillId="0" borderId="3" xfId="1" applyNumberFormat="1" applyFont="1" applyBorder="1"/>
    <xf numFmtId="0" fontId="8" fillId="4" borderId="0" xfId="1" applyFont="1" applyFill="1"/>
    <xf numFmtId="0" fontId="4" fillId="4" borderId="0" xfId="1" applyFont="1" applyFill="1"/>
    <xf numFmtId="0" fontId="4" fillId="4" borderId="0" xfId="1" applyFont="1" applyFill="1" applyAlignment="1">
      <alignment horizontal="center"/>
    </xf>
    <xf numFmtId="0" fontId="4" fillId="0" borderId="2" xfId="1" applyFont="1" applyBorder="1" applyAlignment="1">
      <alignment horizontal="center"/>
    </xf>
    <xf numFmtId="0" fontId="9" fillId="0" borderId="0" xfId="1" applyFont="1"/>
    <xf numFmtId="0" fontId="5" fillId="3" borderId="3" xfId="1" applyFont="1" applyFill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4" fillId="2" borderId="9" xfId="1" applyFont="1" applyFill="1" applyBorder="1"/>
    <xf numFmtId="0" fontId="3" fillId="0" borderId="6" xfId="1" applyFont="1" applyBorder="1" applyAlignment="1">
      <alignment horizontal="center"/>
    </xf>
    <xf numFmtId="0" fontId="4" fillId="0" borderId="3" xfId="1" applyFont="1" applyBorder="1"/>
    <xf numFmtId="0" fontId="4" fillId="0" borderId="10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4" fillId="0" borderId="10" xfId="1" applyFont="1" applyBorder="1"/>
    <xf numFmtId="0" fontId="5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1" xfId="1" applyFont="1" applyFill="1" applyBorder="1" applyAlignment="1">
      <alignment horizontal="center"/>
    </xf>
    <xf numFmtId="0" fontId="5" fillId="2" borderId="11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left"/>
    </xf>
    <xf numFmtId="0" fontId="5" fillId="0" borderId="0" xfId="1" applyFont="1"/>
    <xf numFmtId="0" fontId="3" fillId="2" borderId="2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9" fontId="3" fillId="2" borderId="2" xfId="1" applyNumberFormat="1" applyFont="1" applyFill="1" applyBorder="1" applyAlignment="1">
      <alignment horizontal="center" vertical="center" wrapText="1"/>
    </xf>
    <xf numFmtId="9" fontId="3" fillId="2" borderId="11" xfId="1" applyNumberFormat="1" applyFont="1" applyFill="1" applyBorder="1" applyAlignment="1">
      <alignment horizontal="center" vertical="center"/>
    </xf>
    <xf numFmtId="9" fontId="3" fillId="5" borderId="13" xfId="1" applyNumberFormat="1" applyFont="1" applyFill="1" applyBorder="1" applyAlignment="1">
      <alignment horizontal="center" vertical="center" wrapText="1"/>
    </xf>
    <xf numFmtId="9" fontId="4" fillId="0" borderId="3" xfId="1" applyNumberFormat="1" applyFont="1" applyBorder="1" applyAlignment="1">
      <alignment horizontal="center"/>
    </xf>
    <xf numFmtId="0" fontId="4" fillId="0" borderId="0" xfId="1" applyFont="1" applyAlignment="1">
      <alignment horizontal="right"/>
    </xf>
    <xf numFmtId="9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164" fontId="4" fillId="0" borderId="3" xfId="1" applyNumberFormat="1" applyFont="1" applyBorder="1" applyAlignment="1">
      <alignment horizontal="center"/>
    </xf>
    <xf numFmtId="164" fontId="12" fillId="6" borderId="3" xfId="1" applyNumberFormat="1" applyFont="1" applyFill="1" applyBorder="1"/>
    <xf numFmtId="0" fontId="4" fillId="4" borderId="3" xfId="1" applyFont="1" applyFill="1" applyBorder="1" applyAlignment="1">
      <alignment horizontal="center"/>
    </xf>
    <xf numFmtId="166" fontId="4" fillId="0" borderId="3" xfId="1" applyNumberFormat="1" applyFont="1" applyBorder="1" applyAlignment="1">
      <alignment horizontal="center"/>
    </xf>
    <xf numFmtId="166" fontId="4" fillId="0" borderId="5" xfId="1" applyNumberFormat="1" applyFont="1" applyBorder="1" applyAlignment="1">
      <alignment horizontal="center"/>
    </xf>
    <xf numFmtId="0" fontId="3" fillId="0" borderId="0" xfId="1" applyFont="1" applyAlignment="1">
      <alignment horizontal="right"/>
    </xf>
    <xf numFmtId="0" fontId="13" fillId="0" borderId="0" xfId="1" applyFont="1" applyAlignment="1">
      <alignment horizontal="right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 wrapText="1"/>
    </xf>
    <xf numFmtId="0" fontId="3" fillId="4" borderId="9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9" fontId="3" fillId="3" borderId="2" xfId="1" applyNumberFormat="1" applyFont="1" applyFill="1" applyBorder="1" applyAlignment="1">
      <alignment horizontal="center"/>
    </xf>
    <xf numFmtId="0" fontId="4" fillId="4" borderId="3" xfId="1" applyFont="1" applyFill="1" applyBorder="1" applyAlignment="1">
      <alignment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vertical="center"/>
    </xf>
    <xf numFmtId="0" fontId="3" fillId="2" borderId="4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left"/>
    </xf>
    <xf numFmtId="0" fontId="0" fillId="0" borderId="16" xfId="0" applyBorder="1"/>
    <xf numFmtId="2" fontId="14" fillId="0" borderId="3" xfId="1" applyNumberFormat="1" applyFont="1" applyBorder="1" applyAlignment="1">
      <alignment horizontal="center"/>
    </xf>
    <xf numFmtId="0" fontId="17" fillId="7" borderId="16" xfId="1" applyFont="1" applyFill="1" applyBorder="1" applyAlignment="1">
      <alignment vertical="center"/>
    </xf>
    <xf numFmtId="0" fontId="17" fillId="10" borderId="16" xfId="1" applyFont="1" applyFill="1" applyBorder="1" applyAlignment="1">
      <alignment vertical="center"/>
    </xf>
    <xf numFmtId="0" fontId="3" fillId="8" borderId="17" xfId="1" applyFont="1" applyFill="1" applyBorder="1" applyAlignment="1">
      <alignment horizontal="center"/>
    </xf>
    <xf numFmtId="0" fontId="3" fillId="8" borderId="4" xfId="1" applyFont="1" applyFill="1" applyBorder="1" applyAlignment="1">
      <alignment horizontal="center"/>
    </xf>
    <xf numFmtId="0" fontId="4" fillId="8" borderId="16" xfId="1" applyFont="1" applyFill="1" applyBorder="1" applyAlignment="1">
      <alignment vertical="center"/>
    </xf>
    <xf numFmtId="49" fontId="18" fillId="0" borderId="0" xfId="2" applyNumberFormat="1" applyFont="1"/>
    <xf numFmtId="0" fontId="19" fillId="9" borderId="0" xfId="1" applyFont="1" applyFill="1"/>
    <xf numFmtId="49" fontId="15" fillId="0" borderId="0" xfId="2" applyNumberFormat="1"/>
    <xf numFmtId="0" fontId="15" fillId="0" borderId="0" xfId="2"/>
    <xf numFmtId="0" fontId="18" fillId="0" borderId="0" xfId="2" applyFont="1"/>
    <xf numFmtId="0" fontId="20" fillId="12" borderId="0" xfId="5"/>
    <xf numFmtId="49" fontId="1" fillId="12" borderId="0" xfId="5" applyNumberFormat="1" applyFont="1"/>
    <xf numFmtId="49" fontId="21" fillId="11" borderId="0" xfId="4" applyNumberFormat="1" applyFont="1"/>
    <xf numFmtId="0" fontId="21" fillId="11" borderId="0" xfId="4" applyFont="1"/>
    <xf numFmtId="0" fontId="5" fillId="2" borderId="5" xfId="1" applyFont="1" applyFill="1" applyBorder="1" applyAlignment="1">
      <alignment horizontal="center"/>
    </xf>
    <xf numFmtId="0" fontId="6" fillId="0" borderId="6" xfId="1" applyFont="1" applyBorder="1"/>
    <xf numFmtId="0" fontId="4" fillId="0" borderId="5" xfId="1" applyFont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6" fillId="0" borderId="8" xfId="1" applyFont="1" applyBorder="1"/>
  </cellXfs>
  <cellStyles count="6">
    <cellStyle name="20% - Accent2" xfId="5" builtinId="34"/>
    <cellStyle name="Accent2" xfId="4" builtinId="33"/>
    <cellStyle name="Normal" xfId="0" builtinId="0"/>
    <cellStyle name="Normal 2" xfId="1" xr:uid="{A8D15665-EBFC-484E-9B33-3A21CA24E324}"/>
    <cellStyle name="Normal 3" xfId="2" xr:uid="{7FF6A58C-1F53-4C19-95AC-75ACF5CEFF97}"/>
    <cellStyle name="Normal 4" xfId="3" xr:uid="{9C8160ED-E34D-4189-B206-A43DAAAB7792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68BE-C761-4681-B1E0-8FCB0CA5AFA9}">
  <dimension ref="A1:AC917"/>
  <sheetViews>
    <sheetView tabSelected="1" workbookViewId="0">
      <selection activeCell="K127" sqref="K127"/>
    </sheetView>
  </sheetViews>
  <sheetFormatPr defaultColWidth="12.6640625" defaultRowHeight="15" customHeight="1" x14ac:dyDescent="0.3"/>
  <cols>
    <col min="1" max="2" width="8.33203125" style="3" customWidth="1"/>
    <col min="3" max="3" width="40.6640625" style="3" customWidth="1"/>
    <col min="4" max="5" width="7.77734375" style="3" customWidth="1"/>
    <col min="6" max="6" width="8.21875" style="3" customWidth="1"/>
    <col min="7" max="7" width="7.6640625" style="3" customWidth="1"/>
    <col min="8" max="8" width="11.33203125" style="3" customWidth="1"/>
    <col min="9" max="9" width="9" style="3" customWidth="1"/>
    <col min="10" max="10" width="7.6640625" style="3" customWidth="1"/>
    <col min="11" max="20" width="4.109375" style="3" customWidth="1"/>
    <col min="21" max="21" width="3.77734375" style="3" customWidth="1"/>
    <col min="22" max="24" width="3.88671875" style="3" customWidth="1"/>
    <col min="25" max="25" width="6.21875" style="3" customWidth="1"/>
    <col min="26" max="26" width="4.21875" style="3" customWidth="1"/>
    <col min="27" max="27" width="13.21875" style="3" customWidth="1"/>
    <col min="28" max="29" width="8.6640625" style="3" customWidth="1"/>
    <col min="30" max="16384" width="12.6640625" style="3"/>
  </cols>
  <sheetData>
    <row r="1" spans="1:29" ht="18" customHeight="1" x14ac:dyDescent="0.3">
      <c r="A1" s="1" t="s">
        <v>70</v>
      </c>
      <c r="D1" s="1" t="s">
        <v>71</v>
      </c>
      <c r="J1" s="5"/>
    </row>
    <row r="2" spans="1:29" ht="18" customHeight="1" x14ac:dyDescent="0.3">
      <c r="A2" s="1" t="s">
        <v>9</v>
      </c>
      <c r="B2" s="1" t="s">
        <v>10</v>
      </c>
      <c r="D2" s="1"/>
      <c r="J2" s="5"/>
    </row>
    <row r="3" spans="1:29" ht="18" customHeight="1" x14ac:dyDescent="0.3">
      <c r="A3" s="4"/>
      <c r="B3" s="4"/>
      <c r="C3" s="1"/>
      <c r="D3" s="2" t="s">
        <v>11</v>
      </c>
      <c r="E3" s="1"/>
      <c r="F3" s="1"/>
      <c r="G3" s="1"/>
      <c r="H3" s="1"/>
      <c r="I3" s="1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5" customHeight="1" x14ac:dyDescent="0.3">
      <c r="A4" s="1" t="s">
        <v>12</v>
      </c>
      <c r="B4" s="1"/>
      <c r="J4" s="5"/>
    </row>
    <row r="5" spans="1:29" ht="21.75" customHeight="1" x14ac:dyDescent="0.3">
      <c r="A5" s="6" t="s">
        <v>8</v>
      </c>
      <c r="B5" s="85" t="s">
        <v>13</v>
      </c>
      <c r="C5" s="84"/>
      <c r="D5" s="8" t="s">
        <v>14</v>
      </c>
      <c r="E5" s="7" t="s">
        <v>0</v>
      </c>
      <c r="F5" s="9" t="s">
        <v>15</v>
      </c>
      <c r="H5" s="2" t="s">
        <v>16</v>
      </c>
      <c r="J5" s="5"/>
    </row>
    <row r="6" spans="1:29" ht="16.5" customHeight="1" x14ac:dyDescent="0.3">
      <c r="A6" s="6" t="s">
        <v>17</v>
      </c>
      <c r="B6" s="83" t="s">
        <v>18</v>
      </c>
      <c r="C6" s="84"/>
      <c r="D6" s="10">
        <v>85</v>
      </c>
      <c r="E6" s="6">
        <f>K22</f>
        <v>10</v>
      </c>
      <c r="F6" s="11">
        <f t="shared" ref="F6:F18" si="0">IF(E$19&gt;0,E6/E$19,0)</f>
        <v>9.9009900990099015E-2</v>
      </c>
      <c r="G6" s="12"/>
      <c r="H6" s="13"/>
      <c r="I6" s="13"/>
      <c r="J6" s="14"/>
    </row>
    <row r="7" spans="1:29" ht="16.5" customHeight="1" x14ac:dyDescent="0.3">
      <c r="A7" s="15" t="s">
        <v>19</v>
      </c>
      <c r="B7" s="83" t="s">
        <v>20</v>
      </c>
      <c r="C7" s="84"/>
      <c r="D7" s="10">
        <v>75</v>
      </c>
      <c r="E7" s="6">
        <f>L22</f>
        <v>43</v>
      </c>
      <c r="F7" s="11">
        <f t="shared" si="0"/>
        <v>0.42574257425742573</v>
      </c>
      <c r="G7" s="12"/>
      <c r="H7" s="13"/>
      <c r="I7" s="13"/>
      <c r="J7" s="14"/>
    </row>
    <row r="8" spans="1:29" ht="16.5" customHeight="1" x14ac:dyDescent="0.3">
      <c r="A8" s="15" t="s">
        <v>21</v>
      </c>
      <c r="B8" s="83" t="s">
        <v>22</v>
      </c>
      <c r="C8" s="84"/>
      <c r="D8" s="10">
        <v>70</v>
      </c>
      <c r="E8" s="6">
        <f>M22</f>
        <v>23</v>
      </c>
      <c r="F8" s="11">
        <f t="shared" si="0"/>
        <v>0.22772277227722773</v>
      </c>
      <c r="G8" s="12"/>
      <c r="H8" s="13"/>
      <c r="I8" s="13"/>
      <c r="J8" s="14"/>
    </row>
    <row r="9" spans="1:29" ht="16.5" customHeight="1" x14ac:dyDescent="0.3">
      <c r="A9" s="15" t="s">
        <v>23</v>
      </c>
      <c r="B9" s="83" t="s">
        <v>24</v>
      </c>
      <c r="C9" s="84"/>
      <c r="D9" s="10">
        <v>65</v>
      </c>
      <c r="E9" s="6">
        <f>N22</f>
        <v>11</v>
      </c>
      <c r="F9" s="11">
        <f t="shared" si="0"/>
        <v>0.10891089108910891</v>
      </c>
      <c r="G9" s="12"/>
      <c r="H9" s="13"/>
      <c r="I9" s="13"/>
      <c r="J9" s="14"/>
    </row>
    <row r="10" spans="1:29" ht="16.5" customHeight="1" x14ac:dyDescent="0.3">
      <c r="A10" s="15" t="s">
        <v>25</v>
      </c>
      <c r="B10" s="83" t="s">
        <v>26</v>
      </c>
      <c r="C10" s="84"/>
      <c r="D10" s="10">
        <v>60</v>
      </c>
      <c r="E10" s="6">
        <f>O22</f>
        <v>6</v>
      </c>
      <c r="F10" s="11">
        <f t="shared" si="0"/>
        <v>5.9405940594059403E-2</v>
      </c>
      <c r="H10" s="16" t="s">
        <v>27</v>
      </c>
      <c r="J10" s="5"/>
    </row>
    <row r="11" spans="1:29" ht="16.5" customHeight="1" x14ac:dyDescent="0.3">
      <c r="A11" s="15" t="s">
        <v>28</v>
      </c>
      <c r="B11" s="83" t="s">
        <v>29</v>
      </c>
      <c r="C11" s="84"/>
      <c r="D11" s="10">
        <v>55</v>
      </c>
      <c r="E11" s="6">
        <f>P22</f>
        <v>4</v>
      </c>
      <c r="F11" s="11">
        <f t="shared" si="0"/>
        <v>3.9603960396039604E-2</v>
      </c>
      <c r="H11" s="16" t="s">
        <v>30</v>
      </c>
      <c r="J11" s="5"/>
    </row>
    <row r="12" spans="1:29" ht="16.5" customHeight="1" x14ac:dyDescent="0.3">
      <c r="A12" s="15" t="s">
        <v>31</v>
      </c>
      <c r="B12" s="83" t="s">
        <v>32</v>
      </c>
      <c r="C12" s="84"/>
      <c r="D12" s="10">
        <v>50</v>
      </c>
      <c r="E12" s="6">
        <f>Q22</f>
        <v>3</v>
      </c>
      <c r="F12" s="11">
        <f t="shared" si="0"/>
        <v>2.9702970297029702E-2</v>
      </c>
      <c r="J12" s="5"/>
    </row>
    <row r="13" spans="1:29" ht="16.5" customHeight="1" x14ac:dyDescent="0.3">
      <c r="A13" s="15" t="s">
        <v>33</v>
      </c>
      <c r="B13" s="83" t="s">
        <v>34</v>
      </c>
      <c r="C13" s="84"/>
      <c r="D13" s="10">
        <v>45</v>
      </c>
      <c r="E13" s="6">
        <f>R22</f>
        <v>0</v>
      </c>
      <c r="F13" s="11">
        <f t="shared" si="0"/>
        <v>0</v>
      </c>
      <c r="H13" s="2" t="s">
        <v>35</v>
      </c>
      <c r="J13" s="5"/>
    </row>
    <row r="14" spans="1:29" ht="16.5" customHeight="1" x14ac:dyDescent="0.3">
      <c r="A14" s="15" t="s">
        <v>36</v>
      </c>
      <c r="B14" s="83" t="s">
        <v>37</v>
      </c>
      <c r="C14" s="84"/>
      <c r="D14" s="10">
        <v>40</v>
      </c>
      <c r="E14" s="6">
        <f>S22</f>
        <v>1</v>
      </c>
      <c r="F14" s="11">
        <f t="shared" si="0"/>
        <v>9.9009900990099011E-3</v>
      </c>
      <c r="G14" s="13"/>
      <c r="H14" s="13"/>
      <c r="I14" s="13"/>
      <c r="J14" s="14"/>
    </row>
    <row r="15" spans="1:29" ht="16.5" customHeight="1" x14ac:dyDescent="0.3">
      <c r="A15" s="15" t="s">
        <v>38</v>
      </c>
      <c r="B15" s="83" t="s">
        <v>39</v>
      </c>
      <c r="C15" s="84"/>
      <c r="D15" s="17">
        <v>35</v>
      </c>
      <c r="E15" s="18">
        <f>T22</f>
        <v>0</v>
      </c>
      <c r="F15" s="11">
        <f t="shared" si="0"/>
        <v>0</v>
      </c>
      <c r="G15" s="13"/>
      <c r="H15" s="13"/>
      <c r="I15" s="13"/>
      <c r="J15" s="14"/>
    </row>
    <row r="16" spans="1:29" ht="16.5" customHeight="1" x14ac:dyDescent="0.3">
      <c r="A16" s="15" t="s">
        <v>40</v>
      </c>
      <c r="B16" s="87" t="s">
        <v>41</v>
      </c>
      <c r="C16" s="88"/>
      <c r="D16" s="19"/>
      <c r="E16" s="6">
        <f>U22</f>
        <v>0</v>
      </c>
      <c r="F16" s="11">
        <f t="shared" si="0"/>
        <v>0</v>
      </c>
      <c r="G16" s="13"/>
      <c r="H16" s="13"/>
      <c r="I16" s="13"/>
      <c r="J16" s="14"/>
    </row>
    <row r="17" spans="1:29" ht="16.5" customHeight="1" x14ac:dyDescent="0.3">
      <c r="A17" s="15" t="s">
        <v>42</v>
      </c>
      <c r="B17" s="83" t="s">
        <v>43</v>
      </c>
      <c r="C17" s="84"/>
      <c r="D17" s="20"/>
      <c r="E17" s="21">
        <f>V22</f>
        <v>0</v>
      </c>
      <c r="F17" s="11">
        <f t="shared" si="0"/>
        <v>0</v>
      </c>
      <c r="G17" s="13"/>
      <c r="H17" s="13"/>
      <c r="I17" s="13"/>
      <c r="J17" s="14"/>
      <c r="U17" s="16" t="str">
        <f>IF(AND(Y25&lt;$R$25,Y25&gt;=$S$25),"C-",IF(AND(Y25&lt;$S$23,Y25&gt;=$T$25),"D",IF(Y25&lt;$T$25,"I","***")))</f>
        <v>***</v>
      </c>
    </row>
    <row r="18" spans="1:29" ht="16.5" customHeight="1" x14ac:dyDescent="0.3">
      <c r="A18" s="15" t="s">
        <v>44</v>
      </c>
      <c r="B18" s="86"/>
      <c r="C18" s="84"/>
      <c r="D18" s="20"/>
      <c r="E18" s="21">
        <f>W22</f>
        <v>0</v>
      </c>
      <c r="F18" s="11">
        <f t="shared" si="0"/>
        <v>0</v>
      </c>
      <c r="H18" s="16" t="s">
        <v>27</v>
      </c>
      <c r="J18" s="5"/>
    </row>
    <row r="19" spans="1:29" ht="16.5" customHeight="1" x14ac:dyDescent="0.3">
      <c r="A19" s="22" t="s">
        <v>7</v>
      </c>
      <c r="B19" s="83" t="s">
        <v>7</v>
      </c>
      <c r="C19" s="84"/>
      <c r="D19" s="23"/>
      <c r="E19" s="24">
        <f>SUM(E6:E18)</f>
        <v>101</v>
      </c>
      <c r="F19" s="25"/>
      <c r="H19" s="16" t="s">
        <v>30</v>
      </c>
      <c r="J19" s="5"/>
    </row>
    <row r="20" spans="1:29" ht="18" customHeight="1" x14ac:dyDescent="0.3">
      <c r="A20" s="7"/>
      <c r="B20" s="26"/>
      <c r="C20" s="27" t="s">
        <v>45</v>
      </c>
      <c r="D20" s="28"/>
      <c r="E20" s="6">
        <f>SUM(J25:J34)</f>
        <v>10</v>
      </c>
      <c r="F20" s="11">
        <f>IF(E$19&gt;0,E20/E$19,0)</f>
        <v>9.9009900990099015E-2</v>
      </c>
      <c r="H20" s="2"/>
      <c r="J20" s="5"/>
    </row>
    <row r="21" spans="1:29" ht="7.5" customHeight="1" x14ac:dyDescent="0.3">
      <c r="A21" s="5"/>
      <c r="B21" s="5"/>
      <c r="C21" s="29"/>
      <c r="D21" s="29"/>
      <c r="E21" s="2"/>
      <c r="F21" s="2"/>
      <c r="G21" s="2"/>
      <c r="J21" s="5"/>
    </row>
    <row r="22" spans="1:29" ht="11.25" customHeight="1" thickBot="1" x14ac:dyDescent="0.35">
      <c r="F22" s="2"/>
      <c r="J22" s="5"/>
      <c r="K22" s="2">
        <f>SUM(K25:K125)</f>
        <v>10</v>
      </c>
      <c r="L22" s="2">
        <f t="shared" ref="L22:W22" si="1">SUM(L25:L125)</f>
        <v>43</v>
      </c>
      <c r="M22" s="2">
        <f t="shared" si="1"/>
        <v>23</v>
      </c>
      <c r="N22" s="2">
        <f t="shared" si="1"/>
        <v>11</v>
      </c>
      <c r="O22" s="2">
        <f t="shared" si="1"/>
        <v>6</v>
      </c>
      <c r="P22" s="2">
        <f t="shared" si="1"/>
        <v>4</v>
      </c>
      <c r="Q22" s="2">
        <f t="shared" si="1"/>
        <v>3</v>
      </c>
      <c r="R22" s="2">
        <f t="shared" si="1"/>
        <v>0</v>
      </c>
      <c r="S22" s="2">
        <f t="shared" si="1"/>
        <v>1</v>
      </c>
      <c r="T22" s="2">
        <f t="shared" si="1"/>
        <v>0</v>
      </c>
      <c r="U22" s="2">
        <f t="shared" si="1"/>
        <v>0</v>
      </c>
      <c r="V22" s="2">
        <f t="shared" si="1"/>
        <v>0</v>
      </c>
      <c r="W22" s="2">
        <f t="shared" si="1"/>
        <v>0</v>
      </c>
      <c r="X22" s="2"/>
      <c r="Y22" s="2"/>
    </row>
    <row r="23" spans="1:29" ht="25.5" customHeight="1" thickTop="1" thickBot="1" x14ac:dyDescent="0.35">
      <c r="A23" s="30" t="s">
        <v>46</v>
      </c>
      <c r="B23" s="30" t="s">
        <v>47</v>
      </c>
      <c r="C23" s="31" t="s">
        <v>1</v>
      </c>
      <c r="D23" s="32" t="s">
        <v>48</v>
      </c>
      <c r="E23" s="32" t="s">
        <v>49</v>
      </c>
      <c r="F23" s="33" t="s">
        <v>50</v>
      </c>
      <c r="G23" s="34" t="s">
        <v>51</v>
      </c>
      <c r="H23" s="35" t="s">
        <v>52</v>
      </c>
      <c r="I23" s="36" t="s">
        <v>53</v>
      </c>
      <c r="J23" s="6"/>
      <c r="K23" s="37">
        <f>D6-0.5</f>
        <v>84.5</v>
      </c>
      <c r="L23" s="37">
        <f>D7-0.5</f>
        <v>74.5</v>
      </c>
      <c r="M23" s="37">
        <f>D8-0.5</f>
        <v>69.5</v>
      </c>
      <c r="N23" s="37">
        <f>D9-0.5</f>
        <v>64.5</v>
      </c>
      <c r="O23" s="37">
        <f>D10-0.5</f>
        <v>59.5</v>
      </c>
      <c r="P23" s="37">
        <f>D11-0.5</f>
        <v>54.5</v>
      </c>
      <c r="Q23" s="37">
        <f>D12-0.5</f>
        <v>49.5</v>
      </c>
      <c r="R23" s="37">
        <f>D13-0.5</f>
        <v>44.5</v>
      </c>
      <c r="S23" s="37">
        <f>D14-0.5</f>
        <v>39.5</v>
      </c>
      <c r="T23" s="37">
        <f>D15-0.5</f>
        <v>34.5</v>
      </c>
      <c r="Y23" s="16" t="s">
        <v>54</v>
      </c>
    </row>
    <row r="24" spans="1:29" ht="18" customHeight="1" thickTop="1" x14ac:dyDescent="0.3">
      <c r="A24" s="38"/>
      <c r="B24" s="39"/>
      <c r="C24" s="38"/>
      <c r="D24" s="38" t="s">
        <v>8</v>
      </c>
      <c r="E24" s="38" t="s">
        <v>8</v>
      </c>
      <c r="F24" s="40">
        <v>1</v>
      </c>
      <c r="G24" s="41">
        <v>0.4</v>
      </c>
      <c r="H24" s="42">
        <v>0.6</v>
      </c>
      <c r="I24" s="43">
        <v>0.6</v>
      </c>
      <c r="J24" s="6" t="s">
        <v>55</v>
      </c>
      <c r="K24" s="44" t="s">
        <v>17</v>
      </c>
      <c r="L24" s="44" t="s">
        <v>19</v>
      </c>
      <c r="M24" s="44" t="s">
        <v>21</v>
      </c>
      <c r="N24" s="44" t="s">
        <v>23</v>
      </c>
      <c r="O24" s="44" t="s">
        <v>25</v>
      </c>
      <c r="P24" s="44" t="s">
        <v>28</v>
      </c>
      <c r="Q24" s="44" t="s">
        <v>31</v>
      </c>
      <c r="R24" s="44" t="s">
        <v>33</v>
      </c>
      <c r="S24" s="44" t="s">
        <v>36</v>
      </c>
      <c r="T24" s="44" t="s">
        <v>38</v>
      </c>
      <c r="U24" s="44" t="s">
        <v>40</v>
      </c>
      <c r="V24" s="44" t="s">
        <v>42</v>
      </c>
      <c r="W24" s="44" t="s">
        <v>44</v>
      </c>
      <c r="X24" s="44"/>
      <c r="Y24" s="45">
        <v>1</v>
      </c>
      <c r="AA24" s="46" t="s">
        <v>56</v>
      </c>
      <c r="AB24" s="44"/>
      <c r="AC24" s="16" t="s">
        <v>8</v>
      </c>
    </row>
    <row r="25" spans="1:29" ht="18" customHeight="1" x14ac:dyDescent="0.3">
      <c r="A25" s="47" t="s">
        <v>72</v>
      </c>
      <c r="B25" s="48" t="str">
        <f>'Detailed Marks'!A4</f>
        <v>200370K</v>
      </c>
      <c r="C25" s="48" t="str">
        <f>'Detailed Marks'!B4</f>
        <v>MADUWANTHA L.H.H.</v>
      </c>
      <c r="D25" s="49"/>
      <c r="E25" s="6" t="str">
        <f t="shared" ref="E25:E34" si="2">+IF(AND(C25="",B25=""),"",IF(AA25=0,AC25,AA25))</f>
        <v>A</v>
      </c>
      <c r="F25" s="68">
        <f t="shared" ref="F25:F34" si="3">G25+H25</f>
        <v>75.02000000000001</v>
      </c>
      <c r="G25" s="50">
        <f>'Detailed Marks'!L4/'Detailed Marks'!$L$3*'Final Marks'!$G$24</f>
        <v>26.6</v>
      </c>
      <c r="H25" s="50">
        <f t="shared" ref="H25:H34" si="4">I25*H$24/I$24</f>
        <v>48.42</v>
      </c>
      <c r="I25" s="6">
        <f>'Detailed Marks'!M4</f>
        <v>48.42</v>
      </c>
      <c r="J25" s="6">
        <f t="shared" ref="J25:J34" si="5">IF(I25/$I$24&gt;=75,1,"")</f>
        <v>1</v>
      </c>
      <c r="K25" s="16">
        <f t="shared" ref="K25:T48" si="6">IF($D25="",IF($E25=K$24,1,0),IF($D25=K$24,1,0))</f>
        <v>0</v>
      </c>
      <c r="L25" s="16">
        <f t="shared" si="6"/>
        <v>1</v>
      </c>
      <c r="M25" s="16">
        <f t="shared" si="6"/>
        <v>0</v>
      </c>
      <c r="N25" s="16">
        <f t="shared" si="6"/>
        <v>0</v>
      </c>
      <c r="O25" s="16">
        <f t="shared" si="6"/>
        <v>0</v>
      </c>
      <c r="P25" s="16">
        <f t="shared" si="6"/>
        <v>0</v>
      </c>
      <c r="Q25" s="16">
        <f t="shared" si="6"/>
        <v>0</v>
      </c>
      <c r="R25" s="16">
        <f t="shared" si="6"/>
        <v>0</v>
      </c>
      <c r="S25" s="16">
        <f t="shared" si="6"/>
        <v>0</v>
      </c>
      <c r="T25" s="16">
        <f t="shared" si="6"/>
        <v>0</v>
      </c>
      <c r="U25" s="16">
        <f t="shared" ref="U25:U111" si="7">IF($D25="",IF(LEFT($E25,1)=U$24,1,0),IF(LEFT($D25,1)=U$24,1,0))</f>
        <v>0</v>
      </c>
      <c r="V25" s="16">
        <f t="shared" ref="V25:W111" si="8">IF($D25="",IF($E25=V$24,1,0),IF($D25=V$24,1,0))</f>
        <v>0</v>
      </c>
      <c r="W25" s="16">
        <f t="shared" si="8"/>
        <v>0</v>
      </c>
      <c r="Y25" s="51">
        <f t="shared" ref="Y25:Y34" si="9">F25</f>
        <v>75.02000000000001</v>
      </c>
      <c r="AA25" s="44">
        <f t="shared" ref="AA25:AA34" si="10">+IF(OR(A25="",A25="N"),0,
IF(A25="U",
IF(OR(AC25="I-we",AC25="I-ca",AC25="F"),"**I",
IF(Y25&gt;=R$23,"C",
IF(Y25&gt;=S$23,"C-","**D"))),
IF(A25="PF",
IF(OR(AC25="I-we",AC25="I-ca",AC25="F"),AC25,
IF(Y25&gt;=R$23,"C",
IF(Y25&gt;=S$23,"C-","**D"))),
IF(A25="PI-ca",IF(AC25="I-we","DATA",IF(AC25="I-ca",AC25,
IF(Y25&gt;=R$23,"C",
IF(Y25&gt;=S$23,"C-",IF(Y25&gt;=T$23,"D","DATA"))))),IF(A25="PI-we",
IF(AC25="I-ca","DATA",IF(AC25="I-we",AC25,IF(Y25&gt;=R$23,"C",
IF(Y25&gt;=S$23,"C-",IF(Y25&gt;=T$23,"D","DATA"))))
)))
)))</f>
        <v>0</v>
      </c>
      <c r="AC25" s="16" t="str">
        <f t="shared" ref="AC25:AC34" si="11">IF(AND(H25&gt;=$D$15*$H$24,G25&gt;=$D$15*$G$24),IF(F25&gt;=$O$23,IF(F25&gt;=$K$23,"A+",IF(F25&gt;=$L$23,"A",IF(F25&gt;=$M$23,"A-",IF(F25&gt;=$N$23,"B+","B")))),IF(F25&lt;$T$23,"I",IF(F25&lt;$S$23,"D",IF(F25&lt;$R$23,"C-",IF(F25&lt;$Q$23,"C",IF(F25&lt;$P$23,"C+",IF(F25&lt;$O$23,"B-","B"))))))),IF(AND(H25&lt;$D$15*$H$24,G25&lt;$D$15*$G$24),"F",IF(H25&lt;$D$15*$H$24,"I-ca","I-we")))</f>
        <v>A</v>
      </c>
    </row>
    <row r="26" spans="1:29" ht="18" customHeight="1" x14ac:dyDescent="0.3">
      <c r="A26" s="47" t="s">
        <v>72</v>
      </c>
      <c r="B26" s="48" t="str">
        <f>'Detailed Marks'!A5</f>
        <v>210003B</v>
      </c>
      <c r="C26" s="48" t="str">
        <f>'Detailed Marks'!B5</f>
        <v>ABEWICKREMA A.S.J.</v>
      </c>
      <c r="D26" s="49"/>
      <c r="E26" s="6" t="str">
        <f t="shared" si="2"/>
        <v>A</v>
      </c>
      <c r="F26" s="68">
        <f t="shared" si="3"/>
        <v>74.570000000000007</v>
      </c>
      <c r="G26" s="50">
        <f>'Detailed Marks'!L5/'Detailed Marks'!$L$3*'Final Marks'!$G$24</f>
        <v>23.400000000000002</v>
      </c>
      <c r="H26" s="50">
        <f t="shared" si="4"/>
        <v>51.17</v>
      </c>
      <c r="I26" s="6">
        <f>'Detailed Marks'!M5</f>
        <v>51.17</v>
      </c>
      <c r="J26" s="6">
        <f t="shared" si="5"/>
        <v>1</v>
      </c>
      <c r="K26" s="16">
        <f t="shared" si="6"/>
        <v>0</v>
      </c>
      <c r="L26" s="16">
        <f t="shared" si="6"/>
        <v>1</v>
      </c>
      <c r="M26" s="16">
        <f t="shared" si="6"/>
        <v>0</v>
      </c>
      <c r="N26" s="16">
        <f t="shared" si="6"/>
        <v>0</v>
      </c>
      <c r="O26" s="16">
        <f t="shared" si="6"/>
        <v>0</v>
      </c>
      <c r="P26" s="16">
        <f t="shared" si="6"/>
        <v>0</v>
      </c>
      <c r="Q26" s="16">
        <f t="shared" si="6"/>
        <v>0</v>
      </c>
      <c r="R26" s="16">
        <f t="shared" si="6"/>
        <v>0</v>
      </c>
      <c r="S26" s="16">
        <f t="shared" si="6"/>
        <v>0</v>
      </c>
      <c r="T26" s="16">
        <f t="shared" si="6"/>
        <v>0</v>
      </c>
      <c r="U26" s="16">
        <f t="shared" si="7"/>
        <v>0</v>
      </c>
      <c r="V26" s="16">
        <f t="shared" si="8"/>
        <v>0</v>
      </c>
      <c r="W26" s="16">
        <f t="shared" si="8"/>
        <v>0</v>
      </c>
      <c r="Y26" s="51">
        <f t="shared" si="9"/>
        <v>74.570000000000007</v>
      </c>
      <c r="AA26" s="44">
        <f t="shared" si="10"/>
        <v>0</v>
      </c>
      <c r="AC26" s="16" t="str">
        <f t="shared" si="11"/>
        <v>A</v>
      </c>
    </row>
    <row r="27" spans="1:29" ht="18" customHeight="1" x14ac:dyDescent="0.3">
      <c r="A27" s="47" t="s">
        <v>72</v>
      </c>
      <c r="B27" s="48" t="str">
        <f>'Detailed Marks'!A6</f>
        <v>210005H</v>
      </c>
      <c r="C27" s="48" t="str">
        <f>'Detailed Marks'!B6</f>
        <v>ABEYRATHNA S.M.S.M.B.</v>
      </c>
      <c r="D27" s="49"/>
      <c r="E27" s="6" t="str">
        <f t="shared" si="2"/>
        <v>A-</v>
      </c>
      <c r="F27" s="68">
        <f t="shared" si="3"/>
        <v>71.650000000000006</v>
      </c>
      <c r="G27" s="50">
        <f>'Detailed Marks'!L6/'Detailed Marks'!$L$3*'Final Marks'!$G$24</f>
        <v>20.400000000000002</v>
      </c>
      <c r="H27" s="50">
        <f t="shared" si="4"/>
        <v>51.25</v>
      </c>
      <c r="I27" s="6">
        <f>'Detailed Marks'!M6</f>
        <v>51.25</v>
      </c>
      <c r="J27" s="6">
        <f t="shared" si="5"/>
        <v>1</v>
      </c>
      <c r="K27" s="16">
        <f t="shared" si="6"/>
        <v>0</v>
      </c>
      <c r="L27" s="16">
        <f t="shared" si="6"/>
        <v>0</v>
      </c>
      <c r="M27" s="16">
        <f t="shared" si="6"/>
        <v>1</v>
      </c>
      <c r="N27" s="16">
        <f t="shared" si="6"/>
        <v>0</v>
      </c>
      <c r="O27" s="16">
        <f t="shared" si="6"/>
        <v>0</v>
      </c>
      <c r="P27" s="16">
        <f t="shared" si="6"/>
        <v>0</v>
      </c>
      <c r="Q27" s="16">
        <f t="shared" si="6"/>
        <v>0</v>
      </c>
      <c r="R27" s="16">
        <f t="shared" si="6"/>
        <v>0</v>
      </c>
      <c r="S27" s="16">
        <f t="shared" si="6"/>
        <v>0</v>
      </c>
      <c r="T27" s="16">
        <f t="shared" si="6"/>
        <v>0</v>
      </c>
      <c r="U27" s="16">
        <f t="shared" si="7"/>
        <v>0</v>
      </c>
      <c r="V27" s="16">
        <f t="shared" si="8"/>
        <v>0</v>
      </c>
      <c r="W27" s="16">
        <f t="shared" si="8"/>
        <v>0</v>
      </c>
      <c r="Y27" s="51">
        <f t="shared" si="9"/>
        <v>71.650000000000006</v>
      </c>
      <c r="AA27" s="44">
        <f t="shared" si="10"/>
        <v>0</v>
      </c>
      <c r="AC27" s="16" t="str">
        <f t="shared" si="11"/>
        <v>A-</v>
      </c>
    </row>
    <row r="28" spans="1:29" ht="18" customHeight="1" x14ac:dyDescent="0.3">
      <c r="A28" s="47" t="s">
        <v>72</v>
      </c>
      <c r="B28" s="48" t="str">
        <f>'Detailed Marks'!A7</f>
        <v>210014J</v>
      </c>
      <c r="C28" s="48" t="str">
        <f>'Detailed Marks'!B7</f>
        <v>ABEYWARDANA K.D.W.</v>
      </c>
      <c r="D28" s="49"/>
      <c r="E28" s="6" t="str">
        <f t="shared" si="2"/>
        <v>A</v>
      </c>
      <c r="F28" s="68">
        <f t="shared" si="3"/>
        <v>74.680000000000007</v>
      </c>
      <c r="G28" s="50">
        <f>'Detailed Marks'!L7/'Detailed Marks'!$L$3*'Final Marks'!$G$24</f>
        <v>22.6</v>
      </c>
      <c r="H28" s="50">
        <f t="shared" si="4"/>
        <v>52.08</v>
      </c>
      <c r="I28" s="6">
        <f>'Detailed Marks'!M7</f>
        <v>52.08</v>
      </c>
      <c r="J28" s="6">
        <f t="shared" si="5"/>
        <v>1</v>
      </c>
      <c r="K28" s="16">
        <f t="shared" si="6"/>
        <v>0</v>
      </c>
      <c r="L28" s="16">
        <f t="shared" si="6"/>
        <v>1</v>
      </c>
      <c r="M28" s="16">
        <f t="shared" si="6"/>
        <v>0</v>
      </c>
      <c r="N28" s="16">
        <f t="shared" si="6"/>
        <v>0</v>
      </c>
      <c r="O28" s="16">
        <f t="shared" si="6"/>
        <v>0</v>
      </c>
      <c r="P28" s="16">
        <f t="shared" si="6"/>
        <v>0</v>
      </c>
      <c r="Q28" s="16">
        <f t="shared" si="6"/>
        <v>0</v>
      </c>
      <c r="R28" s="16">
        <f t="shared" si="6"/>
        <v>0</v>
      </c>
      <c r="S28" s="16">
        <f t="shared" si="6"/>
        <v>0</v>
      </c>
      <c r="T28" s="16">
        <f t="shared" si="6"/>
        <v>0</v>
      </c>
      <c r="U28" s="16">
        <f t="shared" si="7"/>
        <v>0</v>
      </c>
      <c r="V28" s="16">
        <f t="shared" si="8"/>
        <v>0</v>
      </c>
      <c r="W28" s="16">
        <f t="shared" si="8"/>
        <v>0</v>
      </c>
      <c r="Y28" s="51">
        <f t="shared" si="9"/>
        <v>74.680000000000007</v>
      </c>
      <c r="AA28" s="44">
        <f t="shared" si="10"/>
        <v>0</v>
      </c>
      <c r="AC28" s="16" t="str">
        <f t="shared" si="11"/>
        <v>A</v>
      </c>
    </row>
    <row r="29" spans="1:29" ht="18" customHeight="1" x14ac:dyDescent="0.3">
      <c r="A29" s="47" t="s">
        <v>72</v>
      </c>
      <c r="B29" s="48" t="str">
        <f>'Detailed Marks'!A8</f>
        <v>210019E</v>
      </c>
      <c r="C29" s="48" t="str">
        <f>'Detailed Marks'!B8</f>
        <v>ABITHAN A.</v>
      </c>
      <c r="D29" s="49"/>
      <c r="E29" s="6" t="str">
        <f t="shared" si="2"/>
        <v>B+</v>
      </c>
      <c r="F29" s="68">
        <f t="shared" si="3"/>
        <v>66.13</v>
      </c>
      <c r="G29" s="50">
        <f>'Detailed Marks'!L8/'Detailed Marks'!$L$3*'Final Marks'!$G$24</f>
        <v>16.8</v>
      </c>
      <c r="H29" s="50">
        <f t="shared" si="4"/>
        <v>49.33</v>
      </c>
      <c r="I29" s="6">
        <f>'Detailed Marks'!M8</f>
        <v>49.33</v>
      </c>
      <c r="J29" s="6">
        <f t="shared" si="5"/>
        <v>1</v>
      </c>
      <c r="K29" s="16">
        <f t="shared" si="6"/>
        <v>0</v>
      </c>
      <c r="L29" s="16">
        <f t="shared" si="6"/>
        <v>0</v>
      </c>
      <c r="M29" s="16">
        <f t="shared" si="6"/>
        <v>0</v>
      </c>
      <c r="N29" s="16">
        <f t="shared" si="6"/>
        <v>1</v>
      </c>
      <c r="O29" s="16">
        <f t="shared" si="6"/>
        <v>0</v>
      </c>
      <c r="P29" s="16">
        <f t="shared" si="6"/>
        <v>0</v>
      </c>
      <c r="Q29" s="16">
        <f t="shared" si="6"/>
        <v>0</v>
      </c>
      <c r="R29" s="16">
        <f t="shared" si="6"/>
        <v>0</v>
      </c>
      <c r="S29" s="16">
        <f t="shared" si="6"/>
        <v>0</v>
      </c>
      <c r="T29" s="16">
        <f t="shared" si="6"/>
        <v>0</v>
      </c>
      <c r="U29" s="16">
        <f t="shared" si="7"/>
        <v>0</v>
      </c>
      <c r="V29" s="16">
        <f t="shared" si="8"/>
        <v>0</v>
      </c>
      <c r="W29" s="16">
        <f t="shared" si="8"/>
        <v>0</v>
      </c>
      <c r="Y29" s="51">
        <f t="shared" si="9"/>
        <v>66.13</v>
      </c>
      <c r="AA29" s="44">
        <f t="shared" si="10"/>
        <v>0</v>
      </c>
      <c r="AC29" s="16" t="str">
        <f t="shared" si="11"/>
        <v>B+</v>
      </c>
    </row>
    <row r="30" spans="1:29" ht="18" customHeight="1" x14ac:dyDescent="0.3">
      <c r="A30" s="47" t="s">
        <v>72</v>
      </c>
      <c r="B30" s="48" t="str">
        <f>'Detailed Marks'!A9</f>
        <v>210021D</v>
      </c>
      <c r="C30" s="48" t="str">
        <f>'Detailed Marks'!B9</f>
        <v>ADIKARAM W.K.D.N.E.</v>
      </c>
      <c r="D30" s="49"/>
      <c r="E30" s="6" t="str">
        <f t="shared" si="2"/>
        <v>B+</v>
      </c>
      <c r="F30" s="68">
        <f t="shared" si="3"/>
        <v>66.28</v>
      </c>
      <c r="G30" s="50">
        <f>'Detailed Marks'!L9/'Detailed Marks'!$L$3*'Final Marks'!$G$24</f>
        <v>17.400000000000002</v>
      </c>
      <c r="H30" s="50">
        <f t="shared" si="4"/>
        <v>48.88</v>
      </c>
      <c r="I30" s="6">
        <f>'Detailed Marks'!M9</f>
        <v>48.88</v>
      </c>
      <c r="J30" s="6">
        <f t="shared" si="5"/>
        <v>1</v>
      </c>
      <c r="K30" s="16">
        <f t="shared" si="6"/>
        <v>0</v>
      </c>
      <c r="L30" s="16">
        <f t="shared" si="6"/>
        <v>0</v>
      </c>
      <c r="M30" s="16">
        <f t="shared" si="6"/>
        <v>0</v>
      </c>
      <c r="N30" s="16">
        <f t="shared" si="6"/>
        <v>1</v>
      </c>
      <c r="O30" s="16">
        <f t="shared" si="6"/>
        <v>0</v>
      </c>
      <c r="P30" s="16">
        <f t="shared" si="6"/>
        <v>0</v>
      </c>
      <c r="Q30" s="16">
        <f t="shared" si="6"/>
        <v>0</v>
      </c>
      <c r="R30" s="16">
        <f t="shared" si="6"/>
        <v>0</v>
      </c>
      <c r="S30" s="16">
        <f t="shared" si="6"/>
        <v>0</v>
      </c>
      <c r="T30" s="16">
        <f t="shared" si="6"/>
        <v>0</v>
      </c>
      <c r="U30" s="16">
        <f t="shared" si="7"/>
        <v>0</v>
      </c>
      <c r="V30" s="16">
        <f t="shared" si="8"/>
        <v>0</v>
      </c>
      <c r="W30" s="16">
        <f t="shared" si="8"/>
        <v>0</v>
      </c>
      <c r="Y30" s="51">
        <f t="shared" si="9"/>
        <v>66.28</v>
      </c>
      <c r="AA30" s="44">
        <f t="shared" si="10"/>
        <v>0</v>
      </c>
      <c r="AC30" s="16" t="str">
        <f t="shared" si="11"/>
        <v>B+</v>
      </c>
    </row>
    <row r="31" spans="1:29" ht="18" customHeight="1" x14ac:dyDescent="0.3">
      <c r="A31" s="47" t="s">
        <v>72</v>
      </c>
      <c r="B31" s="48" t="str">
        <f>'Detailed Marks'!A10</f>
        <v>210022G</v>
      </c>
      <c r="C31" s="48" t="str">
        <f>'Detailed Marks'!B10</f>
        <v>ADIKARI A.A.S.D.</v>
      </c>
      <c r="D31" s="49"/>
      <c r="E31" s="6" t="str">
        <f t="shared" si="2"/>
        <v>A</v>
      </c>
      <c r="F31" s="68">
        <f t="shared" si="3"/>
        <v>82.37</v>
      </c>
      <c r="G31" s="50">
        <f>'Detailed Marks'!L10/'Detailed Marks'!$L$3*'Final Marks'!$G$24</f>
        <v>29.200000000000003</v>
      </c>
      <c r="H31" s="50">
        <f t="shared" si="4"/>
        <v>53.17</v>
      </c>
      <c r="I31" s="6">
        <f>'Detailed Marks'!M10</f>
        <v>53.17</v>
      </c>
      <c r="J31" s="6">
        <f t="shared" si="5"/>
        <v>1</v>
      </c>
      <c r="K31" s="16">
        <f t="shared" si="6"/>
        <v>0</v>
      </c>
      <c r="L31" s="16">
        <f t="shared" si="6"/>
        <v>1</v>
      </c>
      <c r="M31" s="16">
        <f t="shared" si="6"/>
        <v>0</v>
      </c>
      <c r="N31" s="16">
        <f t="shared" si="6"/>
        <v>0</v>
      </c>
      <c r="O31" s="16">
        <f t="shared" si="6"/>
        <v>0</v>
      </c>
      <c r="P31" s="16">
        <f t="shared" si="6"/>
        <v>0</v>
      </c>
      <c r="Q31" s="16">
        <f t="shared" si="6"/>
        <v>0</v>
      </c>
      <c r="R31" s="16">
        <f t="shared" si="6"/>
        <v>0</v>
      </c>
      <c r="S31" s="16">
        <f t="shared" si="6"/>
        <v>0</v>
      </c>
      <c r="T31" s="16">
        <f t="shared" si="6"/>
        <v>0</v>
      </c>
      <c r="U31" s="16">
        <f t="shared" si="7"/>
        <v>0</v>
      </c>
      <c r="V31" s="16">
        <f t="shared" si="8"/>
        <v>0</v>
      </c>
      <c r="W31" s="16">
        <f t="shared" si="8"/>
        <v>0</v>
      </c>
      <c r="Y31" s="51">
        <f t="shared" si="9"/>
        <v>82.37</v>
      </c>
      <c r="AA31" s="44">
        <f t="shared" si="10"/>
        <v>0</v>
      </c>
      <c r="AC31" s="16" t="str">
        <f t="shared" si="11"/>
        <v>A</v>
      </c>
    </row>
    <row r="32" spans="1:29" ht="18" customHeight="1" x14ac:dyDescent="0.3">
      <c r="A32" s="47" t="s">
        <v>72</v>
      </c>
      <c r="B32" s="48" t="str">
        <f>'Detailed Marks'!A11</f>
        <v>210027C</v>
      </c>
      <c r="C32" s="48" t="str">
        <f>'Detailed Marks'!B11</f>
        <v>ALAHAKOON U.M.Y.B.</v>
      </c>
      <c r="D32" s="49"/>
      <c r="E32" s="6" t="str">
        <f t="shared" si="2"/>
        <v>A</v>
      </c>
      <c r="F32" s="68">
        <f t="shared" si="3"/>
        <v>75.17</v>
      </c>
      <c r="G32" s="50">
        <f>'Detailed Marks'!L11/'Detailed Marks'!$L$3*'Final Marks'!$G$24</f>
        <v>26.400000000000002</v>
      </c>
      <c r="H32" s="50">
        <f t="shared" si="4"/>
        <v>48.77</v>
      </c>
      <c r="I32" s="6">
        <f>'Detailed Marks'!M11</f>
        <v>48.77</v>
      </c>
      <c r="J32" s="6">
        <f t="shared" si="5"/>
        <v>1</v>
      </c>
      <c r="K32" s="16">
        <f t="shared" si="6"/>
        <v>0</v>
      </c>
      <c r="L32" s="16">
        <f t="shared" si="6"/>
        <v>1</v>
      </c>
      <c r="M32" s="16">
        <f t="shared" si="6"/>
        <v>0</v>
      </c>
      <c r="N32" s="16">
        <f t="shared" si="6"/>
        <v>0</v>
      </c>
      <c r="O32" s="16">
        <f t="shared" si="6"/>
        <v>0</v>
      </c>
      <c r="P32" s="16">
        <f t="shared" si="6"/>
        <v>0</v>
      </c>
      <c r="Q32" s="16">
        <f t="shared" si="6"/>
        <v>0</v>
      </c>
      <c r="R32" s="16">
        <f t="shared" si="6"/>
        <v>0</v>
      </c>
      <c r="S32" s="16">
        <f t="shared" si="6"/>
        <v>0</v>
      </c>
      <c r="T32" s="16">
        <f t="shared" si="6"/>
        <v>0</v>
      </c>
      <c r="U32" s="16">
        <f t="shared" si="7"/>
        <v>0</v>
      </c>
      <c r="V32" s="16">
        <f t="shared" si="8"/>
        <v>0</v>
      </c>
      <c r="W32" s="16">
        <f t="shared" si="8"/>
        <v>0</v>
      </c>
      <c r="Y32" s="51">
        <f t="shared" si="9"/>
        <v>75.17</v>
      </c>
      <c r="AA32" s="44">
        <f t="shared" si="10"/>
        <v>0</v>
      </c>
      <c r="AC32" s="16" t="str">
        <f t="shared" si="11"/>
        <v>A</v>
      </c>
    </row>
    <row r="33" spans="1:29" ht="18" customHeight="1" x14ac:dyDescent="0.3">
      <c r="A33" s="47" t="s">
        <v>72</v>
      </c>
      <c r="B33" s="48" t="str">
        <f>'Detailed Marks'!A12</f>
        <v>210031H</v>
      </c>
      <c r="C33" s="48" t="str">
        <f>'Detailed Marks'!B12</f>
        <v>AMARASINGHE A.A.W.L.R.</v>
      </c>
      <c r="D33" s="49"/>
      <c r="E33" s="6" t="str">
        <f t="shared" si="2"/>
        <v>A</v>
      </c>
      <c r="F33" s="68">
        <f t="shared" si="3"/>
        <v>80.25</v>
      </c>
      <c r="G33" s="50">
        <f>'Detailed Marks'!L12/'Detailed Marks'!$L$3*'Final Marks'!$G$24</f>
        <v>25</v>
      </c>
      <c r="H33" s="50">
        <f t="shared" si="4"/>
        <v>55.25</v>
      </c>
      <c r="I33" s="6">
        <f>'Detailed Marks'!M12</f>
        <v>55.25</v>
      </c>
      <c r="J33" s="6">
        <f t="shared" si="5"/>
        <v>1</v>
      </c>
      <c r="K33" s="16">
        <f t="shared" si="6"/>
        <v>0</v>
      </c>
      <c r="L33" s="16">
        <f t="shared" si="6"/>
        <v>1</v>
      </c>
      <c r="M33" s="16">
        <f t="shared" si="6"/>
        <v>0</v>
      </c>
      <c r="N33" s="16">
        <f t="shared" si="6"/>
        <v>0</v>
      </c>
      <c r="O33" s="16">
        <f t="shared" si="6"/>
        <v>0</v>
      </c>
      <c r="P33" s="16">
        <f t="shared" si="6"/>
        <v>0</v>
      </c>
      <c r="Q33" s="16">
        <f t="shared" si="6"/>
        <v>0</v>
      </c>
      <c r="R33" s="16">
        <f t="shared" si="6"/>
        <v>0</v>
      </c>
      <c r="S33" s="16">
        <f t="shared" si="6"/>
        <v>0</v>
      </c>
      <c r="T33" s="16">
        <f t="shared" si="6"/>
        <v>0</v>
      </c>
      <c r="U33" s="16">
        <f t="shared" si="7"/>
        <v>0</v>
      </c>
      <c r="V33" s="16">
        <f t="shared" si="8"/>
        <v>0</v>
      </c>
      <c r="W33" s="16">
        <f t="shared" si="8"/>
        <v>0</v>
      </c>
      <c r="Y33" s="51">
        <f t="shared" si="9"/>
        <v>80.25</v>
      </c>
      <c r="AA33" s="44">
        <f t="shared" si="10"/>
        <v>0</v>
      </c>
      <c r="AC33" s="16" t="str">
        <f t="shared" si="11"/>
        <v>A</v>
      </c>
    </row>
    <row r="34" spans="1:29" ht="18" customHeight="1" x14ac:dyDescent="0.3">
      <c r="A34" s="47" t="s">
        <v>72</v>
      </c>
      <c r="B34" s="48" t="str">
        <f>'Detailed Marks'!A13</f>
        <v>210035A</v>
      </c>
      <c r="C34" s="48" t="str">
        <f>'Detailed Marks'!B13</f>
        <v>AMARASINGHE Y.W.S.P.</v>
      </c>
      <c r="D34" s="49"/>
      <c r="E34" s="6" t="str">
        <f t="shared" si="2"/>
        <v>A</v>
      </c>
      <c r="F34" s="68">
        <f t="shared" si="3"/>
        <v>80.97</v>
      </c>
      <c r="G34" s="50">
        <f>'Detailed Marks'!L13/'Detailed Marks'!$L$3*'Final Marks'!$G$24</f>
        <v>25.8</v>
      </c>
      <c r="H34" s="50">
        <f t="shared" si="4"/>
        <v>55.169999999999995</v>
      </c>
      <c r="I34" s="6">
        <f>'Detailed Marks'!M13</f>
        <v>55.17</v>
      </c>
      <c r="J34" s="6">
        <f t="shared" si="5"/>
        <v>1</v>
      </c>
      <c r="K34" s="16">
        <f t="shared" si="6"/>
        <v>0</v>
      </c>
      <c r="L34" s="16">
        <f t="shared" si="6"/>
        <v>1</v>
      </c>
      <c r="M34" s="16">
        <f t="shared" si="6"/>
        <v>0</v>
      </c>
      <c r="N34" s="16">
        <f t="shared" si="6"/>
        <v>0</v>
      </c>
      <c r="O34" s="16">
        <f t="shared" si="6"/>
        <v>0</v>
      </c>
      <c r="P34" s="16">
        <f t="shared" si="6"/>
        <v>0</v>
      </c>
      <c r="Q34" s="16">
        <f t="shared" si="6"/>
        <v>0</v>
      </c>
      <c r="R34" s="16">
        <f t="shared" si="6"/>
        <v>0</v>
      </c>
      <c r="S34" s="16">
        <f t="shared" si="6"/>
        <v>0</v>
      </c>
      <c r="T34" s="16">
        <f t="shared" si="6"/>
        <v>0</v>
      </c>
      <c r="U34" s="16">
        <f t="shared" si="7"/>
        <v>0</v>
      </c>
      <c r="V34" s="16">
        <f t="shared" si="8"/>
        <v>0</v>
      </c>
      <c r="W34" s="16">
        <f t="shared" si="8"/>
        <v>0</v>
      </c>
      <c r="Y34" s="51">
        <f t="shared" si="9"/>
        <v>80.97</v>
      </c>
      <c r="AA34" s="44">
        <f t="shared" si="10"/>
        <v>0</v>
      </c>
      <c r="AC34" s="16" t="str">
        <f t="shared" si="11"/>
        <v>A</v>
      </c>
    </row>
    <row r="35" spans="1:29" ht="18" customHeight="1" x14ac:dyDescent="0.3">
      <c r="A35" s="47" t="s">
        <v>72</v>
      </c>
      <c r="B35" s="48" t="str">
        <f>'Detailed Marks'!A14</f>
        <v>210036D</v>
      </c>
      <c r="C35" s="48" t="str">
        <f>'Detailed Marks'!B14</f>
        <v>AMARASURIYA G.N.</v>
      </c>
      <c r="D35" s="49"/>
      <c r="E35" s="6" t="str">
        <f t="shared" ref="E35" si="12">+IF(AND(C35="",B35=""),"",IF(AA35=0,AC35,AA35))</f>
        <v>A-</v>
      </c>
      <c r="F35" s="68">
        <f t="shared" ref="F35" si="13">G35+H35</f>
        <v>72.89</v>
      </c>
      <c r="G35" s="50">
        <f>'Detailed Marks'!L14/'Detailed Marks'!$L$3*'Final Marks'!$G$24</f>
        <v>19.600000000000001</v>
      </c>
      <c r="H35" s="50">
        <f t="shared" ref="H35" si="14">I35*H$24/I$24</f>
        <v>53.29</v>
      </c>
      <c r="I35" s="6">
        <f>'Detailed Marks'!M14</f>
        <v>53.29</v>
      </c>
      <c r="J35" s="6">
        <f t="shared" ref="J35" si="15">IF(I35/$I$24&gt;=75,1,"")</f>
        <v>1</v>
      </c>
      <c r="K35" s="16">
        <f t="shared" si="6"/>
        <v>0</v>
      </c>
      <c r="L35" s="16">
        <f t="shared" si="6"/>
        <v>0</v>
      </c>
      <c r="M35" s="16">
        <f t="shared" si="6"/>
        <v>1</v>
      </c>
      <c r="N35" s="16">
        <f t="shared" si="6"/>
        <v>0</v>
      </c>
      <c r="O35" s="16">
        <f t="shared" si="6"/>
        <v>0</v>
      </c>
      <c r="P35" s="16">
        <f t="shared" si="6"/>
        <v>0</v>
      </c>
      <c r="Q35" s="16">
        <f t="shared" si="6"/>
        <v>0</v>
      </c>
      <c r="R35" s="16">
        <f t="shared" si="6"/>
        <v>0</v>
      </c>
      <c r="S35" s="16">
        <f t="shared" si="6"/>
        <v>0</v>
      </c>
      <c r="T35" s="16">
        <f t="shared" si="6"/>
        <v>0</v>
      </c>
      <c r="U35" s="16">
        <f t="shared" si="7"/>
        <v>0</v>
      </c>
      <c r="V35" s="16">
        <f t="shared" si="8"/>
        <v>0</v>
      </c>
      <c r="W35" s="16">
        <f t="shared" si="8"/>
        <v>0</v>
      </c>
      <c r="Y35" s="51">
        <f t="shared" ref="Y35" si="16">F35</f>
        <v>72.89</v>
      </c>
      <c r="AA35" s="44">
        <f t="shared" ref="AA35" si="17">+IF(OR(A35="",A35="N"),0,
IF(A35="U",
IF(OR(AC35="I-we",AC35="I-ca",AC35="F"),"**I",
IF(Y35&gt;=R$23,"C",
IF(Y35&gt;=S$23,"C-","**D"))),
IF(A35="PF",
IF(OR(AC35="I-we",AC35="I-ca",AC35="F"),AC35,
IF(Y35&gt;=R$23,"C",
IF(Y35&gt;=S$23,"C-","**D"))),
IF(A35="PI-ca",IF(AC35="I-we","DATA",IF(AC35="I-ca",AC35,
IF(Y35&gt;=R$23,"C",
IF(Y35&gt;=S$23,"C-",IF(Y35&gt;=T$23,"D","DATA"))))),IF(A35="PI-we",
IF(AC35="I-ca","DATA",IF(AC35="I-we",AC35,IF(Y35&gt;=R$23,"C",
IF(Y35&gt;=S$23,"C-",IF(Y35&gt;=T$23,"D","DATA"))))
)))
)))</f>
        <v>0</v>
      </c>
      <c r="AC35" s="16" t="str">
        <f t="shared" ref="AC35" si="18">IF(AND(H35&gt;=$D$15*$H$24,G35&gt;=$D$15*$G$24),IF(F35&gt;=$O$23,IF(F35&gt;=$K$23,"A+",IF(F35&gt;=$L$23,"A",IF(F35&gt;=$M$23,"A-",IF(F35&gt;=$N$23,"B+","B")))),IF(F35&lt;$T$23,"I",IF(F35&lt;$S$23,"D",IF(F35&lt;$R$23,"C-",IF(F35&lt;$Q$23,"C",IF(F35&lt;$P$23,"C+",IF(F35&lt;$O$23,"B-","B"))))))),IF(AND(H35&lt;$D$15*$H$24,G35&lt;$D$15*$G$24),"F",IF(H35&lt;$D$15*$H$24,"I-ca","I-we")))</f>
        <v>A-</v>
      </c>
    </row>
    <row r="36" spans="1:29" ht="18" customHeight="1" x14ac:dyDescent="0.3">
      <c r="A36" s="47" t="s">
        <v>72</v>
      </c>
      <c r="B36" s="48" t="str">
        <f>'Detailed Marks'!A15</f>
        <v>210037G</v>
      </c>
      <c r="C36" s="48" t="str">
        <f>'Detailed Marks'!B15</f>
        <v>AMARATHUNGA D.N.</v>
      </c>
      <c r="D36" s="49"/>
      <c r="E36" s="6" t="str">
        <f t="shared" ref="E36:E72" si="19">+IF(AND(C36="",B36=""),"",IF(AA36=0,AC36,AA36))</f>
        <v>A-</v>
      </c>
      <c r="F36" s="68">
        <f t="shared" ref="F36:F72" si="20">G36+H36</f>
        <v>72.17</v>
      </c>
      <c r="G36" s="50">
        <f>'Detailed Marks'!L15/'Detailed Marks'!$L$3*'Final Marks'!$G$24</f>
        <v>19</v>
      </c>
      <c r="H36" s="50">
        <f t="shared" ref="H36:H72" si="21">I36*H$24/I$24</f>
        <v>53.17</v>
      </c>
      <c r="I36" s="6">
        <f>'Detailed Marks'!M15</f>
        <v>53.17</v>
      </c>
      <c r="J36" s="6">
        <f t="shared" ref="J36:J72" si="22">IF(I36/$I$24&gt;=75,1,"")</f>
        <v>1</v>
      </c>
      <c r="K36" s="16">
        <f t="shared" si="6"/>
        <v>0</v>
      </c>
      <c r="L36" s="16">
        <f t="shared" si="6"/>
        <v>0</v>
      </c>
      <c r="M36" s="16">
        <f t="shared" si="6"/>
        <v>1</v>
      </c>
      <c r="N36" s="16">
        <f t="shared" si="6"/>
        <v>0</v>
      </c>
      <c r="O36" s="16">
        <f t="shared" si="6"/>
        <v>0</v>
      </c>
      <c r="P36" s="16">
        <f t="shared" si="6"/>
        <v>0</v>
      </c>
      <c r="Q36" s="16">
        <f t="shared" si="6"/>
        <v>0</v>
      </c>
      <c r="R36" s="16">
        <f t="shared" si="6"/>
        <v>0</v>
      </c>
      <c r="S36" s="16">
        <f t="shared" si="6"/>
        <v>0</v>
      </c>
      <c r="T36" s="16">
        <f t="shared" si="6"/>
        <v>0</v>
      </c>
      <c r="U36" s="16">
        <f t="shared" si="7"/>
        <v>0</v>
      </c>
      <c r="V36" s="16">
        <f t="shared" si="8"/>
        <v>0</v>
      </c>
      <c r="W36" s="16">
        <f t="shared" si="8"/>
        <v>0</v>
      </c>
      <c r="Y36" s="51">
        <f t="shared" ref="Y36:Y72" si="23">F36</f>
        <v>72.17</v>
      </c>
      <c r="AA36" s="44">
        <f t="shared" ref="AA36:AA72" si="24">+IF(OR(A36="",A36="N"),0,
IF(A36="U",
IF(OR(AC36="I-we",AC36="I-ca",AC36="F"),"**I",
IF(Y36&gt;=R$23,"C",
IF(Y36&gt;=S$23,"C-","**D"))),
IF(A36="PF",
IF(OR(AC36="I-we",AC36="I-ca",AC36="F"),AC36,
IF(Y36&gt;=R$23,"C",
IF(Y36&gt;=S$23,"C-","**D"))),
IF(A36="PI-ca",IF(AC36="I-we","DATA",IF(AC36="I-ca",AC36,
IF(Y36&gt;=R$23,"C",
IF(Y36&gt;=S$23,"C-",IF(Y36&gt;=T$23,"D","DATA"))))),IF(A36="PI-we",
IF(AC36="I-ca","DATA",IF(AC36="I-we",AC36,IF(Y36&gt;=R$23,"C",
IF(Y36&gt;=S$23,"C-",IF(Y36&gt;=T$23,"D","DATA"))))
)))
)))</f>
        <v>0</v>
      </c>
      <c r="AC36" s="16" t="str">
        <f t="shared" ref="AC36:AC72" si="25">IF(AND(H36&gt;=$D$15*$H$24,G36&gt;=$D$15*$G$24),IF(F36&gt;=$O$23,IF(F36&gt;=$K$23,"A+",IF(F36&gt;=$L$23,"A",IF(F36&gt;=$M$23,"A-",IF(F36&gt;=$N$23,"B+","B")))),IF(F36&lt;$T$23,"I",IF(F36&lt;$S$23,"D",IF(F36&lt;$R$23,"C-",IF(F36&lt;$Q$23,"C",IF(F36&lt;$P$23,"C+",IF(F36&lt;$O$23,"B-","B"))))))),IF(AND(H36&lt;$D$15*$H$24,G36&lt;$D$15*$G$24),"F",IF(H36&lt;$D$15*$H$24,"I-ca","I-we")))</f>
        <v>A-</v>
      </c>
    </row>
    <row r="37" spans="1:29" ht="18" customHeight="1" x14ac:dyDescent="0.3">
      <c r="A37" s="47" t="s">
        <v>72</v>
      </c>
      <c r="B37" s="48" t="str">
        <f>'Detailed Marks'!A16</f>
        <v>210041M</v>
      </c>
      <c r="C37" s="48" t="str">
        <f>'Detailed Marks'!B16</f>
        <v>AMUGODA A.S.S.</v>
      </c>
      <c r="D37" s="49"/>
      <c r="E37" s="6" t="str">
        <f t="shared" si="19"/>
        <v>A</v>
      </c>
      <c r="F37" s="68">
        <f t="shared" si="20"/>
        <v>80.31</v>
      </c>
      <c r="G37" s="50">
        <f>'Detailed Marks'!L16/'Detailed Marks'!$L$3*'Final Marks'!$G$24</f>
        <v>29</v>
      </c>
      <c r="H37" s="50">
        <f t="shared" si="21"/>
        <v>51.31</v>
      </c>
      <c r="I37" s="6">
        <f>'Detailed Marks'!M16</f>
        <v>51.31</v>
      </c>
      <c r="J37" s="6">
        <f t="shared" si="22"/>
        <v>1</v>
      </c>
      <c r="K37" s="16">
        <f t="shared" si="6"/>
        <v>0</v>
      </c>
      <c r="L37" s="16">
        <f t="shared" si="6"/>
        <v>1</v>
      </c>
      <c r="M37" s="16">
        <f t="shared" si="6"/>
        <v>0</v>
      </c>
      <c r="N37" s="16">
        <f t="shared" si="6"/>
        <v>0</v>
      </c>
      <c r="O37" s="16">
        <f t="shared" si="6"/>
        <v>0</v>
      </c>
      <c r="P37" s="16">
        <f t="shared" si="6"/>
        <v>0</v>
      </c>
      <c r="Q37" s="16">
        <f t="shared" si="6"/>
        <v>0</v>
      </c>
      <c r="R37" s="16">
        <f t="shared" si="6"/>
        <v>0</v>
      </c>
      <c r="S37" s="16">
        <f t="shared" si="6"/>
        <v>0</v>
      </c>
      <c r="T37" s="16">
        <f t="shared" si="6"/>
        <v>0</v>
      </c>
      <c r="U37" s="16">
        <f t="shared" si="7"/>
        <v>0</v>
      </c>
      <c r="V37" s="16">
        <f t="shared" si="8"/>
        <v>0</v>
      </c>
      <c r="W37" s="16">
        <f t="shared" si="8"/>
        <v>0</v>
      </c>
      <c r="Y37" s="51">
        <f t="shared" si="23"/>
        <v>80.31</v>
      </c>
      <c r="AA37" s="44">
        <f t="shared" si="24"/>
        <v>0</v>
      </c>
      <c r="AC37" s="16" t="str">
        <f t="shared" si="25"/>
        <v>A</v>
      </c>
    </row>
    <row r="38" spans="1:29" ht="18" customHeight="1" x14ac:dyDescent="0.3">
      <c r="A38" s="47" t="s">
        <v>72</v>
      </c>
      <c r="B38" s="48" t="str">
        <f>'Detailed Marks'!A17</f>
        <v>210069F</v>
      </c>
      <c r="C38" s="48" t="str">
        <f>'Detailed Marks'!B17</f>
        <v>BASNAYAKE B.Y.N.</v>
      </c>
      <c r="D38" s="49"/>
      <c r="E38" s="6" t="str">
        <f t="shared" si="19"/>
        <v>A</v>
      </c>
      <c r="F38" s="68">
        <f t="shared" si="20"/>
        <v>75.010000000000005</v>
      </c>
      <c r="G38" s="50">
        <f>'Detailed Marks'!L17/'Detailed Marks'!$L$3*'Final Marks'!$G$24</f>
        <v>17.8</v>
      </c>
      <c r="H38" s="50">
        <f t="shared" si="21"/>
        <v>57.21</v>
      </c>
      <c r="I38" s="6">
        <f>'Detailed Marks'!M17</f>
        <v>57.21</v>
      </c>
      <c r="J38" s="6">
        <f t="shared" si="22"/>
        <v>1</v>
      </c>
      <c r="K38" s="16">
        <f t="shared" si="6"/>
        <v>0</v>
      </c>
      <c r="L38" s="16">
        <f t="shared" si="6"/>
        <v>1</v>
      </c>
      <c r="M38" s="16">
        <f t="shared" si="6"/>
        <v>0</v>
      </c>
      <c r="N38" s="16">
        <f t="shared" si="6"/>
        <v>0</v>
      </c>
      <c r="O38" s="16">
        <f t="shared" si="6"/>
        <v>0</v>
      </c>
      <c r="P38" s="16">
        <f t="shared" si="6"/>
        <v>0</v>
      </c>
      <c r="Q38" s="16">
        <f t="shared" si="6"/>
        <v>0</v>
      </c>
      <c r="R38" s="16">
        <f t="shared" si="6"/>
        <v>0</v>
      </c>
      <c r="S38" s="16">
        <f t="shared" si="6"/>
        <v>0</v>
      </c>
      <c r="T38" s="16">
        <f t="shared" si="6"/>
        <v>0</v>
      </c>
      <c r="U38" s="16">
        <f t="shared" si="7"/>
        <v>0</v>
      </c>
      <c r="V38" s="16">
        <f t="shared" si="8"/>
        <v>0</v>
      </c>
      <c r="W38" s="16">
        <f t="shared" si="8"/>
        <v>0</v>
      </c>
      <c r="Y38" s="51">
        <f t="shared" si="23"/>
        <v>75.010000000000005</v>
      </c>
      <c r="AA38" s="44">
        <f t="shared" si="24"/>
        <v>0</v>
      </c>
      <c r="AC38" s="16" t="str">
        <f t="shared" si="25"/>
        <v>A</v>
      </c>
    </row>
    <row r="39" spans="1:29" ht="18" customHeight="1" x14ac:dyDescent="0.3">
      <c r="A39" s="47" t="s">
        <v>72</v>
      </c>
      <c r="B39" s="48" t="str">
        <f>'Detailed Marks'!A18</f>
        <v>210071E</v>
      </c>
      <c r="C39" s="48" t="str">
        <f>'Detailed Marks'!B18</f>
        <v>BOTHEJU W.G.W.</v>
      </c>
      <c r="D39" s="49"/>
      <c r="E39" s="6" t="str">
        <f t="shared" si="19"/>
        <v>A</v>
      </c>
      <c r="F39" s="68">
        <f t="shared" si="20"/>
        <v>77.099999999999994</v>
      </c>
      <c r="G39" s="50">
        <f>'Detailed Marks'!L18/'Detailed Marks'!$L$3*'Final Marks'!$G$24</f>
        <v>27.200000000000003</v>
      </c>
      <c r="H39" s="50">
        <f t="shared" si="21"/>
        <v>49.9</v>
      </c>
      <c r="I39" s="6">
        <f>'Detailed Marks'!M18</f>
        <v>49.9</v>
      </c>
      <c r="J39" s="6">
        <f t="shared" si="22"/>
        <v>1</v>
      </c>
      <c r="K39" s="16">
        <f t="shared" si="6"/>
        <v>0</v>
      </c>
      <c r="L39" s="16">
        <f t="shared" si="6"/>
        <v>1</v>
      </c>
      <c r="M39" s="16">
        <f t="shared" si="6"/>
        <v>0</v>
      </c>
      <c r="N39" s="16">
        <f t="shared" si="6"/>
        <v>0</v>
      </c>
      <c r="O39" s="16">
        <f t="shared" si="6"/>
        <v>0</v>
      </c>
      <c r="P39" s="16">
        <f t="shared" si="6"/>
        <v>0</v>
      </c>
      <c r="Q39" s="16">
        <f t="shared" si="6"/>
        <v>0</v>
      </c>
      <c r="R39" s="16">
        <f t="shared" si="6"/>
        <v>0</v>
      </c>
      <c r="S39" s="16">
        <f t="shared" si="6"/>
        <v>0</v>
      </c>
      <c r="T39" s="16">
        <f t="shared" si="6"/>
        <v>0</v>
      </c>
      <c r="U39" s="16">
        <f t="shared" si="7"/>
        <v>0</v>
      </c>
      <c r="V39" s="16">
        <f t="shared" si="8"/>
        <v>0</v>
      </c>
      <c r="W39" s="16">
        <f t="shared" si="8"/>
        <v>0</v>
      </c>
      <c r="Y39" s="51">
        <f t="shared" si="23"/>
        <v>77.099999999999994</v>
      </c>
      <c r="AA39" s="44">
        <f t="shared" si="24"/>
        <v>0</v>
      </c>
      <c r="AC39" s="16" t="str">
        <f t="shared" si="25"/>
        <v>A</v>
      </c>
    </row>
    <row r="40" spans="1:29" ht="18" customHeight="1" x14ac:dyDescent="0.3">
      <c r="A40" s="47" t="s">
        <v>72</v>
      </c>
      <c r="B40" s="48" t="str">
        <f>'Detailed Marks'!A19</f>
        <v>210075U</v>
      </c>
      <c r="C40" s="48" t="str">
        <f>'Detailed Marks'!B19</f>
        <v>CHANDRAJITH B.P.L.</v>
      </c>
      <c r="D40" s="49"/>
      <c r="E40" s="6" t="str">
        <f t="shared" si="19"/>
        <v>A</v>
      </c>
      <c r="F40" s="68">
        <f t="shared" si="20"/>
        <v>74.650000000000006</v>
      </c>
      <c r="G40" s="50">
        <f>'Detailed Marks'!L19/'Detailed Marks'!$L$3*'Final Marks'!$G$24</f>
        <v>22.400000000000002</v>
      </c>
      <c r="H40" s="50">
        <f t="shared" si="21"/>
        <v>52.25</v>
      </c>
      <c r="I40" s="6">
        <f>'Detailed Marks'!M19</f>
        <v>52.25</v>
      </c>
      <c r="J40" s="6">
        <f t="shared" si="22"/>
        <v>1</v>
      </c>
      <c r="K40" s="16">
        <f t="shared" si="6"/>
        <v>0</v>
      </c>
      <c r="L40" s="16">
        <f t="shared" si="6"/>
        <v>1</v>
      </c>
      <c r="M40" s="16">
        <f t="shared" si="6"/>
        <v>0</v>
      </c>
      <c r="N40" s="16">
        <f t="shared" si="6"/>
        <v>0</v>
      </c>
      <c r="O40" s="16">
        <f t="shared" si="6"/>
        <v>0</v>
      </c>
      <c r="P40" s="16">
        <f t="shared" si="6"/>
        <v>0</v>
      </c>
      <c r="Q40" s="16">
        <f t="shared" si="6"/>
        <v>0</v>
      </c>
      <c r="R40" s="16">
        <f t="shared" si="6"/>
        <v>0</v>
      </c>
      <c r="S40" s="16">
        <f t="shared" si="6"/>
        <v>0</v>
      </c>
      <c r="T40" s="16">
        <f t="shared" si="6"/>
        <v>0</v>
      </c>
      <c r="U40" s="16">
        <f t="shared" si="7"/>
        <v>0</v>
      </c>
      <c r="V40" s="16">
        <f t="shared" si="8"/>
        <v>0</v>
      </c>
      <c r="W40" s="16">
        <f t="shared" si="8"/>
        <v>0</v>
      </c>
      <c r="Y40" s="51">
        <f t="shared" si="23"/>
        <v>74.650000000000006</v>
      </c>
      <c r="AA40" s="44">
        <f t="shared" si="24"/>
        <v>0</v>
      </c>
      <c r="AC40" s="16" t="str">
        <f t="shared" si="25"/>
        <v>A</v>
      </c>
    </row>
    <row r="41" spans="1:29" ht="18" customHeight="1" x14ac:dyDescent="0.3">
      <c r="A41" s="47" t="s">
        <v>72</v>
      </c>
      <c r="B41" s="48" t="str">
        <f>'Detailed Marks'!A20</f>
        <v>210088L</v>
      </c>
      <c r="C41" s="48" t="str">
        <f>'Detailed Marks'!B20</f>
        <v>COORAY P.L.L.K.</v>
      </c>
      <c r="D41" s="49"/>
      <c r="E41" s="6" t="str">
        <f t="shared" si="19"/>
        <v>A-</v>
      </c>
      <c r="F41" s="68">
        <f t="shared" si="20"/>
        <v>69.5</v>
      </c>
      <c r="G41" s="50">
        <f>'Detailed Marks'!L20/'Detailed Marks'!$L$3*'Final Marks'!$G$24</f>
        <v>16.080000000000002</v>
      </c>
      <c r="H41" s="50">
        <f t="shared" si="21"/>
        <v>53.42</v>
      </c>
      <c r="I41" s="6">
        <f>'Detailed Marks'!M20</f>
        <v>53.42</v>
      </c>
      <c r="J41" s="6">
        <f t="shared" si="22"/>
        <v>1</v>
      </c>
      <c r="K41" s="16">
        <f t="shared" si="6"/>
        <v>0</v>
      </c>
      <c r="L41" s="16">
        <f t="shared" si="6"/>
        <v>0</v>
      </c>
      <c r="M41" s="16">
        <f t="shared" si="6"/>
        <v>1</v>
      </c>
      <c r="N41" s="16">
        <f t="shared" si="6"/>
        <v>0</v>
      </c>
      <c r="O41" s="16">
        <f t="shared" si="6"/>
        <v>0</v>
      </c>
      <c r="P41" s="16">
        <f t="shared" si="6"/>
        <v>0</v>
      </c>
      <c r="Q41" s="16">
        <f t="shared" si="6"/>
        <v>0</v>
      </c>
      <c r="R41" s="16">
        <f t="shared" si="6"/>
        <v>0</v>
      </c>
      <c r="S41" s="16">
        <f t="shared" si="6"/>
        <v>0</v>
      </c>
      <c r="T41" s="16">
        <f t="shared" si="6"/>
        <v>0</v>
      </c>
      <c r="U41" s="16">
        <f t="shared" si="7"/>
        <v>0</v>
      </c>
      <c r="V41" s="16">
        <f t="shared" si="8"/>
        <v>0</v>
      </c>
      <c r="W41" s="16">
        <f t="shared" si="8"/>
        <v>0</v>
      </c>
      <c r="Y41" s="51">
        <f t="shared" si="23"/>
        <v>69.5</v>
      </c>
      <c r="AA41" s="44">
        <f t="shared" si="24"/>
        <v>0</v>
      </c>
      <c r="AC41" s="16" t="str">
        <f t="shared" si="25"/>
        <v>A-</v>
      </c>
    </row>
    <row r="42" spans="1:29" ht="18" customHeight="1" x14ac:dyDescent="0.3">
      <c r="A42" s="47" t="s">
        <v>72</v>
      </c>
      <c r="B42" s="48" t="str">
        <f>'Detailed Marks'!A21</f>
        <v>210089P</v>
      </c>
      <c r="C42" s="48" t="str">
        <f>'Detailed Marks'!B21</f>
        <v>DABARE A.D.T.</v>
      </c>
      <c r="D42" s="49"/>
      <c r="E42" s="6" t="str">
        <f t="shared" si="19"/>
        <v>A</v>
      </c>
      <c r="F42" s="68">
        <f t="shared" si="20"/>
        <v>78.89</v>
      </c>
      <c r="G42" s="50">
        <f>'Detailed Marks'!L21/'Detailed Marks'!$L$3*'Final Marks'!$G$24</f>
        <v>28.6</v>
      </c>
      <c r="H42" s="50">
        <f t="shared" si="21"/>
        <v>50.29</v>
      </c>
      <c r="I42" s="6">
        <f>'Detailed Marks'!M21</f>
        <v>50.29</v>
      </c>
      <c r="J42" s="6">
        <f t="shared" si="22"/>
        <v>1</v>
      </c>
      <c r="K42" s="16">
        <f t="shared" si="6"/>
        <v>0</v>
      </c>
      <c r="L42" s="16">
        <f t="shared" si="6"/>
        <v>1</v>
      </c>
      <c r="M42" s="16">
        <f t="shared" si="6"/>
        <v>0</v>
      </c>
      <c r="N42" s="16">
        <f t="shared" si="6"/>
        <v>0</v>
      </c>
      <c r="O42" s="16">
        <f t="shared" si="6"/>
        <v>0</v>
      </c>
      <c r="P42" s="16">
        <f t="shared" si="6"/>
        <v>0</v>
      </c>
      <c r="Q42" s="16">
        <f t="shared" si="6"/>
        <v>0</v>
      </c>
      <c r="R42" s="16">
        <f t="shared" si="6"/>
        <v>0</v>
      </c>
      <c r="S42" s="16">
        <f t="shared" si="6"/>
        <v>0</v>
      </c>
      <c r="T42" s="16">
        <f t="shared" si="6"/>
        <v>0</v>
      </c>
      <c r="U42" s="16">
        <f t="shared" si="7"/>
        <v>0</v>
      </c>
      <c r="V42" s="16">
        <f t="shared" si="8"/>
        <v>0</v>
      </c>
      <c r="W42" s="16">
        <f t="shared" si="8"/>
        <v>0</v>
      </c>
      <c r="Y42" s="51">
        <f t="shared" si="23"/>
        <v>78.89</v>
      </c>
      <c r="AA42" s="44">
        <f t="shared" si="24"/>
        <v>0</v>
      </c>
      <c r="AC42" s="16" t="str">
        <f t="shared" si="25"/>
        <v>A</v>
      </c>
    </row>
    <row r="43" spans="1:29" ht="18" customHeight="1" x14ac:dyDescent="0.3">
      <c r="A43" s="47" t="s">
        <v>72</v>
      </c>
      <c r="B43" s="48" t="str">
        <f>'Detailed Marks'!A22</f>
        <v>210095F</v>
      </c>
      <c r="C43" s="48" t="str">
        <f>'Detailed Marks'!B22</f>
        <v>DASSANAYAKE D.M.T.K.R.</v>
      </c>
      <c r="D43" s="49"/>
      <c r="E43" s="6" t="str">
        <f t="shared" si="19"/>
        <v>A</v>
      </c>
      <c r="F43" s="68">
        <f t="shared" si="20"/>
        <v>75.08</v>
      </c>
      <c r="G43" s="50">
        <f>'Detailed Marks'!L22/'Detailed Marks'!$L$3*'Final Marks'!$G$24</f>
        <v>25</v>
      </c>
      <c r="H43" s="50">
        <f t="shared" si="21"/>
        <v>50.08</v>
      </c>
      <c r="I43" s="6">
        <f>'Detailed Marks'!M22</f>
        <v>50.08</v>
      </c>
      <c r="J43" s="6">
        <f t="shared" si="22"/>
        <v>1</v>
      </c>
      <c r="K43" s="16">
        <f t="shared" si="6"/>
        <v>0</v>
      </c>
      <c r="L43" s="16">
        <f t="shared" si="6"/>
        <v>1</v>
      </c>
      <c r="M43" s="16">
        <f t="shared" si="6"/>
        <v>0</v>
      </c>
      <c r="N43" s="16">
        <f t="shared" si="6"/>
        <v>0</v>
      </c>
      <c r="O43" s="16">
        <f t="shared" si="6"/>
        <v>0</v>
      </c>
      <c r="P43" s="16">
        <f t="shared" si="6"/>
        <v>0</v>
      </c>
      <c r="Q43" s="16">
        <f t="shared" si="6"/>
        <v>0</v>
      </c>
      <c r="R43" s="16">
        <f t="shared" si="6"/>
        <v>0</v>
      </c>
      <c r="S43" s="16">
        <f t="shared" si="6"/>
        <v>0</v>
      </c>
      <c r="T43" s="16">
        <f t="shared" si="6"/>
        <v>0</v>
      </c>
      <c r="U43" s="16">
        <f t="shared" si="7"/>
        <v>0</v>
      </c>
      <c r="V43" s="16">
        <f t="shared" si="8"/>
        <v>0</v>
      </c>
      <c r="W43" s="16">
        <f t="shared" si="8"/>
        <v>0</v>
      </c>
      <c r="Y43" s="51">
        <f t="shared" si="23"/>
        <v>75.08</v>
      </c>
      <c r="AA43" s="44">
        <f t="shared" si="24"/>
        <v>0</v>
      </c>
      <c r="AC43" s="16" t="str">
        <f t="shared" si="25"/>
        <v>A</v>
      </c>
    </row>
    <row r="44" spans="1:29" ht="18" customHeight="1" x14ac:dyDescent="0.3">
      <c r="A44" s="47" t="s">
        <v>72</v>
      </c>
      <c r="B44" s="48" t="str">
        <f>'Detailed Marks'!A23</f>
        <v>210097M</v>
      </c>
      <c r="C44" s="48" t="str">
        <f>'Detailed Marks'!B23</f>
        <v>DE SILVA A.N.T.</v>
      </c>
      <c r="D44" s="49"/>
      <c r="E44" s="6" t="str">
        <f t="shared" si="19"/>
        <v>B-</v>
      </c>
      <c r="F44" s="68">
        <f t="shared" si="20"/>
        <v>54.56</v>
      </c>
      <c r="G44" s="50">
        <f>'Detailed Marks'!L23/'Detailed Marks'!$L$3*'Final Marks'!$G$24</f>
        <v>14.600000000000001</v>
      </c>
      <c r="H44" s="50">
        <f t="shared" si="21"/>
        <v>39.96</v>
      </c>
      <c r="I44" s="6">
        <f>'Detailed Marks'!M23</f>
        <v>39.96</v>
      </c>
      <c r="J44" s="6" t="str">
        <f t="shared" si="22"/>
        <v/>
      </c>
      <c r="K44" s="16">
        <f t="shared" si="6"/>
        <v>0</v>
      </c>
      <c r="L44" s="16">
        <f t="shared" si="6"/>
        <v>0</v>
      </c>
      <c r="M44" s="16">
        <f t="shared" si="6"/>
        <v>0</v>
      </c>
      <c r="N44" s="16">
        <f t="shared" si="6"/>
        <v>0</v>
      </c>
      <c r="O44" s="16">
        <f t="shared" si="6"/>
        <v>0</v>
      </c>
      <c r="P44" s="16">
        <f t="shared" si="6"/>
        <v>1</v>
      </c>
      <c r="Q44" s="16">
        <f t="shared" si="6"/>
        <v>0</v>
      </c>
      <c r="R44" s="16">
        <f t="shared" si="6"/>
        <v>0</v>
      </c>
      <c r="S44" s="16">
        <f t="shared" si="6"/>
        <v>0</v>
      </c>
      <c r="T44" s="16">
        <f t="shared" si="6"/>
        <v>0</v>
      </c>
      <c r="U44" s="16">
        <f t="shared" si="7"/>
        <v>0</v>
      </c>
      <c r="V44" s="16">
        <f t="shared" si="8"/>
        <v>0</v>
      </c>
      <c r="W44" s="16">
        <f t="shared" si="8"/>
        <v>0</v>
      </c>
      <c r="Y44" s="51">
        <f t="shared" si="23"/>
        <v>54.56</v>
      </c>
      <c r="AA44" s="44">
        <f t="shared" si="24"/>
        <v>0</v>
      </c>
      <c r="AC44" s="16" t="str">
        <f t="shared" si="25"/>
        <v>B-</v>
      </c>
    </row>
    <row r="45" spans="1:29" ht="18" customHeight="1" x14ac:dyDescent="0.3">
      <c r="A45" s="47" t="s">
        <v>72</v>
      </c>
      <c r="B45" s="48" t="str">
        <f>'Detailed Marks'!A24</f>
        <v>210108C</v>
      </c>
      <c r="C45" s="48" t="str">
        <f>'Detailed Marks'!B24</f>
        <v>DE ZOYSA A.K.N.</v>
      </c>
      <c r="D45" s="49"/>
      <c r="E45" s="6" t="str">
        <f t="shared" si="19"/>
        <v>B+</v>
      </c>
      <c r="F45" s="68">
        <f t="shared" si="20"/>
        <v>68.849999999999994</v>
      </c>
      <c r="G45" s="50">
        <f>'Detailed Marks'!L24/'Detailed Marks'!$L$3*'Final Marks'!$G$24</f>
        <v>18.8</v>
      </c>
      <c r="H45" s="50">
        <f t="shared" si="21"/>
        <v>50.05</v>
      </c>
      <c r="I45" s="6">
        <f>'Detailed Marks'!M24</f>
        <v>50.05</v>
      </c>
      <c r="J45" s="6">
        <f t="shared" si="22"/>
        <v>1</v>
      </c>
      <c r="K45" s="16">
        <f t="shared" si="6"/>
        <v>0</v>
      </c>
      <c r="L45" s="16">
        <f t="shared" si="6"/>
        <v>0</v>
      </c>
      <c r="M45" s="16">
        <f t="shared" si="6"/>
        <v>0</v>
      </c>
      <c r="N45" s="16">
        <f t="shared" si="6"/>
        <v>1</v>
      </c>
      <c r="O45" s="16">
        <f t="shared" si="6"/>
        <v>0</v>
      </c>
      <c r="P45" s="16">
        <f t="shared" si="6"/>
        <v>0</v>
      </c>
      <c r="Q45" s="16">
        <f t="shared" si="6"/>
        <v>0</v>
      </c>
      <c r="R45" s="16">
        <f t="shared" si="6"/>
        <v>0</v>
      </c>
      <c r="S45" s="16">
        <f t="shared" si="6"/>
        <v>0</v>
      </c>
      <c r="T45" s="16">
        <f t="shared" si="6"/>
        <v>0</v>
      </c>
      <c r="U45" s="16">
        <f t="shared" si="7"/>
        <v>0</v>
      </c>
      <c r="V45" s="16">
        <f t="shared" si="8"/>
        <v>0</v>
      </c>
      <c r="W45" s="16">
        <f t="shared" si="8"/>
        <v>0</v>
      </c>
      <c r="Y45" s="51">
        <f t="shared" si="23"/>
        <v>68.849999999999994</v>
      </c>
      <c r="AA45" s="44">
        <f t="shared" si="24"/>
        <v>0</v>
      </c>
      <c r="AC45" s="16" t="str">
        <f t="shared" si="25"/>
        <v>B+</v>
      </c>
    </row>
    <row r="46" spans="1:29" ht="18" customHeight="1" x14ac:dyDescent="0.3">
      <c r="A46" s="47" t="s">
        <v>72</v>
      </c>
      <c r="B46" s="48" t="str">
        <f>'Detailed Marks'!A25</f>
        <v>210121J</v>
      </c>
      <c r="C46" s="48" t="str">
        <f>'Detailed Marks'!B25</f>
        <v>DHARMADASA W.H.M.A.D.</v>
      </c>
      <c r="D46" s="49"/>
      <c r="E46" s="6" t="str">
        <f t="shared" si="19"/>
        <v>C+</v>
      </c>
      <c r="F46" s="68">
        <f t="shared" si="20"/>
        <v>51.44</v>
      </c>
      <c r="G46" s="50">
        <f>'Detailed Marks'!L25/'Detailed Marks'!$L$3*'Final Marks'!$G$24</f>
        <v>15.4</v>
      </c>
      <c r="H46" s="50">
        <f t="shared" si="21"/>
        <v>36.04</v>
      </c>
      <c r="I46" s="6">
        <f>'Detailed Marks'!M25</f>
        <v>36.04</v>
      </c>
      <c r="J46" s="6" t="str">
        <f t="shared" si="22"/>
        <v/>
      </c>
      <c r="K46" s="16">
        <f t="shared" si="6"/>
        <v>0</v>
      </c>
      <c r="L46" s="16">
        <f t="shared" si="6"/>
        <v>0</v>
      </c>
      <c r="M46" s="16">
        <f t="shared" si="6"/>
        <v>0</v>
      </c>
      <c r="N46" s="16">
        <f t="shared" si="6"/>
        <v>0</v>
      </c>
      <c r="O46" s="16">
        <f t="shared" si="6"/>
        <v>0</v>
      </c>
      <c r="P46" s="16">
        <f t="shared" si="6"/>
        <v>0</v>
      </c>
      <c r="Q46" s="16">
        <f t="shared" si="6"/>
        <v>1</v>
      </c>
      <c r="R46" s="16">
        <f t="shared" si="6"/>
        <v>0</v>
      </c>
      <c r="S46" s="16">
        <f t="shared" si="6"/>
        <v>0</v>
      </c>
      <c r="T46" s="16">
        <f t="shared" si="6"/>
        <v>0</v>
      </c>
      <c r="U46" s="16">
        <f t="shared" si="7"/>
        <v>0</v>
      </c>
      <c r="V46" s="16">
        <f t="shared" si="8"/>
        <v>0</v>
      </c>
      <c r="W46" s="16">
        <f t="shared" si="8"/>
        <v>0</v>
      </c>
      <c r="Y46" s="51">
        <f t="shared" si="23"/>
        <v>51.44</v>
      </c>
      <c r="AA46" s="44">
        <f t="shared" si="24"/>
        <v>0</v>
      </c>
      <c r="AC46" s="16" t="str">
        <f t="shared" si="25"/>
        <v>C+</v>
      </c>
    </row>
    <row r="47" spans="1:29" ht="18" customHeight="1" x14ac:dyDescent="0.3">
      <c r="A47" s="47" t="s">
        <v>72</v>
      </c>
      <c r="B47" s="48" t="str">
        <f>'Detailed Marks'!A26</f>
        <v>210130K</v>
      </c>
      <c r="C47" s="48" t="str">
        <f>'Detailed Marks'!B26</f>
        <v>DILUSHANA H.M.P.S.</v>
      </c>
      <c r="D47" s="49"/>
      <c r="E47" s="6" t="str">
        <f t="shared" si="19"/>
        <v>C+</v>
      </c>
      <c r="F47" s="68">
        <f t="shared" si="20"/>
        <v>50.629999999999995</v>
      </c>
      <c r="G47" s="50">
        <f>'Detailed Marks'!L26/'Detailed Marks'!$L$3*'Final Marks'!$G$24</f>
        <v>14.8</v>
      </c>
      <c r="H47" s="50">
        <f t="shared" si="21"/>
        <v>35.83</v>
      </c>
      <c r="I47" s="6">
        <f>'Detailed Marks'!M26</f>
        <v>35.83</v>
      </c>
      <c r="J47" s="6" t="str">
        <f t="shared" si="22"/>
        <v/>
      </c>
      <c r="K47" s="16">
        <f t="shared" si="6"/>
        <v>0</v>
      </c>
      <c r="L47" s="16">
        <f t="shared" si="6"/>
        <v>0</v>
      </c>
      <c r="M47" s="16">
        <f t="shared" si="6"/>
        <v>0</v>
      </c>
      <c r="N47" s="16">
        <f t="shared" si="6"/>
        <v>0</v>
      </c>
      <c r="O47" s="16">
        <f t="shared" si="6"/>
        <v>0</v>
      </c>
      <c r="P47" s="16">
        <f t="shared" si="6"/>
        <v>0</v>
      </c>
      <c r="Q47" s="16">
        <f t="shared" si="6"/>
        <v>1</v>
      </c>
      <c r="R47" s="16">
        <f t="shared" si="6"/>
        <v>0</v>
      </c>
      <c r="S47" s="16">
        <f t="shared" si="6"/>
        <v>0</v>
      </c>
      <c r="T47" s="16">
        <f t="shared" si="6"/>
        <v>0</v>
      </c>
      <c r="U47" s="16">
        <f t="shared" si="7"/>
        <v>0</v>
      </c>
      <c r="V47" s="16">
        <f t="shared" si="8"/>
        <v>0</v>
      </c>
      <c r="W47" s="16">
        <f t="shared" si="8"/>
        <v>0</v>
      </c>
      <c r="Y47" s="51">
        <f t="shared" si="23"/>
        <v>50.629999999999995</v>
      </c>
      <c r="AA47" s="44">
        <f t="shared" si="24"/>
        <v>0</v>
      </c>
      <c r="AC47" s="16" t="str">
        <f t="shared" si="25"/>
        <v>C+</v>
      </c>
    </row>
    <row r="48" spans="1:29" ht="18" customHeight="1" x14ac:dyDescent="0.3">
      <c r="A48" s="47" t="s">
        <v>72</v>
      </c>
      <c r="B48" s="48" t="str">
        <f>'Detailed Marks'!A27</f>
        <v>210131N</v>
      </c>
      <c r="C48" s="48" t="str">
        <f>'Detailed Marks'!B27</f>
        <v>DIMAGI D.H.P.</v>
      </c>
      <c r="D48" s="49"/>
      <c r="E48" s="6" t="str">
        <f t="shared" si="19"/>
        <v>A</v>
      </c>
      <c r="F48" s="68">
        <f t="shared" si="20"/>
        <v>83.149999999999991</v>
      </c>
      <c r="G48" s="50">
        <f>'Detailed Marks'!L27/'Detailed Marks'!$L$3*'Final Marks'!$G$24</f>
        <v>27.400000000000002</v>
      </c>
      <c r="H48" s="50">
        <f t="shared" si="21"/>
        <v>55.749999999999993</v>
      </c>
      <c r="I48" s="6">
        <f>'Detailed Marks'!M27</f>
        <v>55.75</v>
      </c>
      <c r="J48" s="6">
        <f t="shared" si="22"/>
        <v>1</v>
      </c>
      <c r="K48" s="16">
        <f t="shared" si="6"/>
        <v>0</v>
      </c>
      <c r="L48" s="16">
        <f t="shared" si="6"/>
        <v>1</v>
      </c>
      <c r="M48" s="16">
        <f t="shared" si="6"/>
        <v>0</v>
      </c>
      <c r="N48" s="16">
        <f t="shared" si="6"/>
        <v>0</v>
      </c>
      <c r="O48" s="16">
        <f t="shared" si="6"/>
        <v>0</v>
      </c>
      <c r="P48" s="16">
        <f t="shared" ref="K48:T72" si="26">IF($D48="",IF($E48=P$24,1,0),IF($D48=P$24,1,0))</f>
        <v>0</v>
      </c>
      <c r="Q48" s="16">
        <f t="shared" si="26"/>
        <v>0</v>
      </c>
      <c r="R48" s="16">
        <f t="shared" si="26"/>
        <v>0</v>
      </c>
      <c r="S48" s="16">
        <f t="shared" si="26"/>
        <v>0</v>
      </c>
      <c r="T48" s="16">
        <f t="shared" si="26"/>
        <v>0</v>
      </c>
      <c r="U48" s="16">
        <f t="shared" si="7"/>
        <v>0</v>
      </c>
      <c r="V48" s="16">
        <f t="shared" si="8"/>
        <v>0</v>
      </c>
      <c r="W48" s="16">
        <f t="shared" si="8"/>
        <v>0</v>
      </c>
      <c r="Y48" s="51">
        <f t="shared" si="23"/>
        <v>83.149999999999991</v>
      </c>
      <c r="AA48" s="44">
        <f t="shared" si="24"/>
        <v>0</v>
      </c>
      <c r="AC48" s="16" t="str">
        <f t="shared" si="25"/>
        <v>A</v>
      </c>
    </row>
    <row r="49" spans="1:29" ht="18" customHeight="1" x14ac:dyDescent="0.3">
      <c r="A49" s="47" t="s">
        <v>72</v>
      </c>
      <c r="B49" s="48" t="str">
        <f>'Detailed Marks'!A28</f>
        <v>210140P</v>
      </c>
      <c r="C49" s="48" t="str">
        <f>'Detailed Marks'!B28</f>
        <v>DISSANAYAKA D.M.P.C.</v>
      </c>
      <c r="D49" s="49"/>
      <c r="E49" s="6" t="str">
        <f t="shared" si="19"/>
        <v>A-</v>
      </c>
      <c r="F49" s="68">
        <f t="shared" si="20"/>
        <v>73.75</v>
      </c>
      <c r="G49" s="50">
        <f>'Detailed Marks'!L28/'Detailed Marks'!$L$3*'Final Marks'!$G$24</f>
        <v>23</v>
      </c>
      <c r="H49" s="50">
        <f t="shared" si="21"/>
        <v>50.75</v>
      </c>
      <c r="I49" s="6">
        <f>'Detailed Marks'!M28</f>
        <v>50.75</v>
      </c>
      <c r="J49" s="6">
        <f t="shared" si="22"/>
        <v>1</v>
      </c>
      <c r="K49" s="16">
        <f t="shared" si="26"/>
        <v>0</v>
      </c>
      <c r="L49" s="16">
        <f t="shared" si="26"/>
        <v>0</v>
      </c>
      <c r="M49" s="16">
        <f t="shared" si="26"/>
        <v>1</v>
      </c>
      <c r="N49" s="16">
        <f t="shared" si="26"/>
        <v>0</v>
      </c>
      <c r="O49" s="16">
        <f t="shared" si="26"/>
        <v>0</v>
      </c>
      <c r="P49" s="16">
        <f t="shared" si="26"/>
        <v>0</v>
      </c>
      <c r="Q49" s="16">
        <f t="shared" si="26"/>
        <v>0</v>
      </c>
      <c r="R49" s="16">
        <f t="shared" si="26"/>
        <v>0</v>
      </c>
      <c r="S49" s="16">
        <f t="shared" si="26"/>
        <v>0</v>
      </c>
      <c r="T49" s="16">
        <f t="shared" si="26"/>
        <v>0</v>
      </c>
      <c r="U49" s="16">
        <f t="shared" si="7"/>
        <v>0</v>
      </c>
      <c r="V49" s="16">
        <f t="shared" si="8"/>
        <v>0</v>
      </c>
      <c r="W49" s="16">
        <f t="shared" si="8"/>
        <v>0</v>
      </c>
      <c r="Y49" s="51">
        <f t="shared" si="23"/>
        <v>73.75</v>
      </c>
      <c r="AA49" s="44">
        <f t="shared" si="24"/>
        <v>0</v>
      </c>
      <c r="AC49" s="16" t="str">
        <f t="shared" si="25"/>
        <v>A-</v>
      </c>
    </row>
    <row r="50" spans="1:29" ht="18" customHeight="1" x14ac:dyDescent="0.3">
      <c r="A50" s="47" t="s">
        <v>72</v>
      </c>
      <c r="B50" s="48" t="str">
        <f>'Detailed Marks'!A29</f>
        <v>210141U</v>
      </c>
      <c r="C50" s="48" t="str">
        <f>'Detailed Marks'!B29</f>
        <v>DISSANAYAKA D.M.S.P.</v>
      </c>
      <c r="D50" s="49"/>
      <c r="E50" s="6" t="str">
        <f t="shared" si="19"/>
        <v>A-</v>
      </c>
      <c r="F50" s="68">
        <f t="shared" si="20"/>
        <v>73.89</v>
      </c>
      <c r="G50" s="50">
        <f>'Detailed Marks'!L29/'Detailed Marks'!$L$3*'Final Marks'!$G$24</f>
        <v>21.6</v>
      </c>
      <c r="H50" s="50">
        <f t="shared" si="21"/>
        <v>52.29</v>
      </c>
      <c r="I50" s="6">
        <f>'Detailed Marks'!M29</f>
        <v>52.29</v>
      </c>
      <c r="J50" s="6">
        <f t="shared" si="22"/>
        <v>1</v>
      </c>
      <c r="K50" s="16">
        <f t="shared" si="26"/>
        <v>0</v>
      </c>
      <c r="L50" s="16">
        <f t="shared" si="26"/>
        <v>0</v>
      </c>
      <c r="M50" s="16">
        <f t="shared" si="26"/>
        <v>1</v>
      </c>
      <c r="N50" s="16">
        <f t="shared" si="26"/>
        <v>0</v>
      </c>
      <c r="O50" s="16">
        <f t="shared" si="26"/>
        <v>0</v>
      </c>
      <c r="P50" s="16">
        <f t="shared" si="26"/>
        <v>0</v>
      </c>
      <c r="Q50" s="16">
        <f t="shared" si="26"/>
        <v>0</v>
      </c>
      <c r="R50" s="16">
        <f t="shared" si="26"/>
        <v>0</v>
      </c>
      <c r="S50" s="16">
        <f t="shared" si="26"/>
        <v>0</v>
      </c>
      <c r="T50" s="16">
        <f t="shared" si="26"/>
        <v>0</v>
      </c>
      <c r="U50" s="16">
        <f t="shared" si="7"/>
        <v>0</v>
      </c>
      <c r="V50" s="16">
        <f t="shared" si="8"/>
        <v>0</v>
      </c>
      <c r="W50" s="16">
        <f t="shared" si="8"/>
        <v>0</v>
      </c>
      <c r="Y50" s="51">
        <f t="shared" si="23"/>
        <v>73.89</v>
      </c>
      <c r="AA50" s="44">
        <f t="shared" si="24"/>
        <v>0</v>
      </c>
      <c r="AC50" s="16" t="str">
        <f t="shared" si="25"/>
        <v>A-</v>
      </c>
    </row>
    <row r="51" spans="1:29" ht="18" customHeight="1" x14ac:dyDescent="0.3">
      <c r="A51" s="47" t="s">
        <v>72</v>
      </c>
      <c r="B51" s="48" t="str">
        <f>'Detailed Marks'!A30</f>
        <v>210147T</v>
      </c>
      <c r="C51" s="48" t="str">
        <f>'Detailed Marks'!B30</f>
        <v>DISSANAYAKE D.M.S.D.</v>
      </c>
      <c r="D51" s="49"/>
      <c r="E51" s="6" t="str">
        <f t="shared" si="19"/>
        <v>B-</v>
      </c>
      <c r="F51" s="68">
        <f t="shared" si="20"/>
        <v>57.14</v>
      </c>
      <c r="G51" s="50">
        <f>'Detailed Marks'!L30/'Detailed Marks'!$L$3*'Final Marks'!$G$24</f>
        <v>14.600000000000001</v>
      </c>
      <c r="H51" s="50">
        <f t="shared" si="21"/>
        <v>42.54</v>
      </c>
      <c r="I51" s="6">
        <f>'Detailed Marks'!M30</f>
        <v>42.54</v>
      </c>
      <c r="J51" s="6" t="str">
        <f t="shared" si="22"/>
        <v/>
      </c>
      <c r="K51" s="16">
        <f t="shared" si="26"/>
        <v>0</v>
      </c>
      <c r="L51" s="16">
        <f t="shared" si="26"/>
        <v>0</v>
      </c>
      <c r="M51" s="16">
        <f t="shared" si="26"/>
        <v>0</v>
      </c>
      <c r="N51" s="16">
        <f t="shared" si="26"/>
        <v>0</v>
      </c>
      <c r="O51" s="16">
        <f t="shared" si="26"/>
        <v>0</v>
      </c>
      <c r="P51" s="16">
        <f t="shared" si="26"/>
        <v>1</v>
      </c>
      <c r="Q51" s="16">
        <f t="shared" si="26"/>
        <v>0</v>
      </c>
      <c r="R51" s="16">
        <f t="shared" si="26"/>
        <v>0</v>
      </c>
      <c r="S51" s="16">
        <f t="shared" si="26"/>
        <v>0</v>
      </c>
      <c r="T51" s="16">
        <f t="shared" si="26"/>
        <v>0</v>
      </c>
      <c r="U51" s="16">
        <f t="shared" si="7"/>
        <v>0</v>
      </c>
      <c r="V51" s="16">
        <f t="shared" si="8"/>
        <v>0</v>
      </c>
      <c r="W51" s="16">
        <f t="shared" si="8"/>
        <v>0</v>
      </c>
      <c r="Y51" s="51">
        <f t="shared" si="23"/>
        <v>57.14</v>
      </c>
      <c r="AA51" s="44">
        <f t="shared" si="24"/>
        <v>0</v>
      </c>
      <c r="AC51" s="16" t="str">
        <f t="shared" si="25"/>
        <v>B-</v>
      </c>
    </row>
    <row r="52" spans="1:29" ht="18" customHeight="1" x14ac:dyDescent="0.3">
      <c r="A52" s="47" t="s">
        <v>72</v>
      </c>
      <c r="B52" s="48" t="str">
        <f>'Detailed Marks'!A31</f>
        <v>210150V</v>
      </c>
      <c r="C52" s="48" t="str">
        <f>'Detailed Marks'!B31</f>
        <v>DODANGODA D.K.S.J.</v>
      </c>
      <c r="D52" s="49"/>
      <c r="E52" s="6" t="str">
        <f t="shared" si="19"/>
        <v>B+</v>
      </c>
      <c r="F52" s="68">
        <f t="shared" si="20"/>
        <v>66.05</v>
      </c>
      <c r="G52" s="50">
        <f>'Detailed Marks'!L31/'Detailed Marks'!$L$3*'Final Marks'!$G$24</f>
        <v>19</v>
      </c>
      <c r="H52" s="50">
        <f t="shared" si="21"/>
        <v>47.05</v>
      </c>
      <c r="I52" s="6">
        <f>'Detailed Marks'!M31</f>
        <v>47.05</v>
      </c>
      <c r="J52" s="6">
        <f t="shared" si="22"/>
        <v>1</v>
      </c>
      <c r="K52" s="16">
        <f t="shared" si="26"/>
        <v>0</v>
      </c>
      <c r="L52" s="16">
        <f t="shared" si="26"/>
        <v>0</v>
      </c>
      <c r="M52" s="16">
        <f t="shared" si="26"/>
        <v>0</v>
      </c>
      <c r="N52" s="16">
        <f t="shared" si="26"/>
        <v>1</v>
      </c>
      <c r="O52" s="16">
        <f t="shared" si="26"/>
        <v>0</v>
      </c>
      <c r="P52" s="16">
        <f t="shared" si="26"/>
        <v>0</v>
      </c>
      <c r="Q52" s="16">
        <f t="shared" si="26"/>
        <v>0</v>
      </c>
      <c r="R52" s="16">
        <f t="shared" si="26"/>
        <v>0</v>
      </c>
      <c r="S52" s="16">
        <f t="shared" si="26"/>
        <v>0</v>
      </c>
      <c r="T52" s="16">
        <f t="shared" si="26"/>
        <v>0</v>
      </c>
      <c r="U52" s="16">
        <f t="shared" si="7"/>
        <v>0</v>
      </c>
      <c r="V52" s="16">
        <f t="shared" si="8"/>
        <v>0</v>
      </c>
      <c r="W52" s="16">
        <f t="shared" si="8"/>
        <v>0</v>
      </c>
      <c r="Y52" s="51">
        <f t="shared" si="23"/>
        <v>66.05</v>
      </c>
      <c r="AA52" s="44">
        <f t="shared" si="24"/>
        <v>0</v>
      </c>
      <c r="AC52" s="16" t="str">
        <f t="shared" si="25"/>
        <v>B+</v>
      </c>
    </row>
    <row r="53" spans="1:29" ht="18" customHeight="1" x14ac:dyDescent="0.3">
      <c r="A53" s="47" t="s">
        <v>72</v>
      </c>
      <c r="B53" s="48" t="str">
        <f>'Detailed Marks'!A32</f>
        <v>210152E</v>
      </c>
      <c r="C53" s="48" t="str">
        <f>'Detailed Marks'!B32</f>
        <v>DULNATH W.H.R.</v>
      </c>
      <c r="D53" s="49"/>
      <c r="E53" s="6" t="str">
        <f t="shared" si="19"/>
        <v>B</v>
      </c>
      <c r="F53" s="68">
        <f t="shared" si="20"/>
        <v>59.519999999999996</v>
      </c>
      <c r="G53" s="50">
        <f>'Detailed Marks'!L32/'Detailed Marks'!$L$3*'Final Marks'!$G$24</f>
        <v>16.52</v>
      </c>
      <c r="H53" s="50">
        <f t="shared" si="21"/>
        <v>43</v>
      </c>
      <c r="I53" s="6">
        <f>'Detailed Marks'!M32</f>
        <v>43</v>
      </c>
      <c r="J53" s="6" t="str">
        <f t="shared" si="22"/>
        <v/>
      </c>
      <c r="K53" s="16">
        <f t="shared" si="26"/>
        <v>0</v>
      </c>
      <c r="L53" s="16">
        <f t="shared" si="26"/>
        <v>0</v>
      </c>
      <c r="M53" s="16">
        <f t="shared" si="26"/>
        <v>0</v>
      </c>
      <c r="N53" s="16">
        <f t="shared" si="26"/>
        <v>0</v>
      </c>
      <c r="O53" s="16">
        <f t="shared" si="26"/>
        <v>1</v>
      </c>
      <c r="P53" s="16">
        <f t="shared" si="26"/>
        <v>0</v>
      </c>
      <c r="Q53" s="16">
        <f t="shared" si="26"/>
        <v>0</v>
      </c>
      <c r="R53" s="16">
        <f t="shared" si="26"/>
        <v>0</v>
      </c>
      <c r="S53" s="16">
        <f t="shared" si="26"/>
        <v>0</v>
      </c>
      <c r="T53" s="16">
        <f t="shared" si="26"/>
        <v>0</v>
      </c>
      <c r="U53" s="16">
        <f t="shared" si="7"/>
        <v>0</v>
      </c>
      <c r="V53" s="16">
        <f t="shared" si="8"/>
        <v>0</v>
      </c>
      <c r="W53" s="16">
        <f t="shared" si="8"/>
        <v>0</v>
      </c>
      <c r="Y53" s="51">
        <f t="shared" si="23"/>
        <v>59.519999999999996</v>
      </c>
      <c r="AA53" s="44">
        <f t="shared" si="24"/>
        <v>0</v>
      </c>
      <c r="AC53" s="16" t="str">
        <f t="shared" si="25"/>
        <v>B</v>
      </c>
    </row>
    <row r="54" spans="1:29" ht="18" customHeight="1" x14ac:dyDescent="0.3">
      <c r="A54" s="47" t="s">
        <v>72</v>
      </c>
      <c r="B54" s="48" t="str">
        <f>'Detailed Marks'!A33</f>
        <v>210153H</v>
      </c>
      <c r="C54" s="48" t="str">
        <f>'Detailed Marks'!B33</f>
        <v>EDIRISINGHE E.A.D.D.D.</v>
      </c>
      <c r="D54" s="49"/>
      <c r="E54" s="6" t="str">
        <f t="shared" si="19"/>
        <v>A-</v>
      </c>
      <c r="F54" s="68">
        <f t="shared" si="20"/>
        <v>73.010000000000005</v>
      </c>
      <c r="G54" s="50">
        <f>'Detailed Marks'!L33/'Detailed Marks'!$L$3*'Final Marks'!$G$24</f>
        <v>20.8</v>
      </c>
      <c r="H54" s="50">
        <f t="shared" si="21"/>
        <v>52.21</v>
      </c>
      <c r="I54" s="6">
        <f>'Detailed Marks'!M33</f>
        <v>52.21</v>
      </c>
      <c r="J54" s="6">
        <f t="shared" si="22"/>
        <v>1</v>
      </c>
      <c r="K54" s="16">
        <f t="shared" si="26"/>
        <v>0</v>
      </c>
      <c r="L54" s="16">
        <f t="shared" si="26"/>
        <v>0</v>
      </c>
      <c r="M54" s="16">
        <f t="shared" si="26"/>
        <v>1</v>
      </c>
      <c r="N54" s="16">
        <f t="shared" si="26"/>
        <v>0</v>
      </c>
      <c r="O54" s="16">
        <f t="shared" si="26"/>
        <v>0</v>
      </c>
      <c r="P54" s="16">
        <f t="shared" si="26"/>
        <v>0</v>
      </c>
      <c r="Q54" s="16">
        <f t="shared" si="26"/>
        <v>0</v>
      </c>
      <c r="R54" s="16">
        <f t="shared" si="26"/>
        <v>0</v>
      </c>
      <c r="S54" s="16">
        <f t="shared" si="26"/>
        <v>0</v>
      </c>
      <c r="T54" s="16">
        <f t="shared" si="26"/>
        <v>0</v>
      </c>
      <c r="U54" s="16">
        <f t="shared" si="7"/>
        <v>0</v>
      </c>
      <c r="V54" s="16">
        <f t="shared" si="8"/>
        <v>0</v>
      </c>
      <c r="W54" s="16">
        <f t="shared" si="8"/>
        <v>0</v>
      </c>
      <c r="Y54" s="51">
        <f t="shared" si="23"/>
        <v>73.010000000000005</v>
      </c>
      <c r="AA54" s="44">
        <f t="shared" si="24"/>
        <v>0</v>
      </c>
      <c r="AC54" s="16" t="str">
        <f t="shared" si="25"/>
        <v>A-</v>
      </c>
    </row>
    <row r="55" spans="1:29" ht="18" customHeight="1" x14ac:dyDescent="0.3">
      <c r="A55" s="47" t="s">
        <v>72</v>
      </c>
      <c r="B55" s="48" t="str">
        <f>'Detailed Marks'!A34</f>
        <v>210156U</v>
      </c>
      <c r="C55" s="48" t="str">
        <f>'Detailed Marks'!B34</f>
        <v>EPA Y.L.A.</v>
      </c>
      <c r="D55" s="49"/>
      <c r="E55" s="6" t="str">
        <f t="shared" si="19"/>
        <v>A</v>
      </c>
      <c r="F55" s="68">
        <f t="shared" si="20"/>
        <v>77.05</v>
      </c>
      <c r="G55" s="50">
        <f>'Detailed Marks'!L34/'Detailed Marks'!$L$3*'Final Marks'!$G$24</f>
        <v>22.8</v>
      </c>
      <c r="H55" s="50">
        <f t="shared" si="21"/>
        <v>54.25</v>
      </c>
      <c r="I55" s="6">
        <f>'Detailed Marks'!M34</f>
        <v>54.25</v>
      </c>
      <c r="J55" s="6">
        <f t="shared" si="22"/>
        <v>1</v>
      </c>
      <c r="K55" s="16">
        <f t="shared" si="26"/>
        <v>0</v>
      </c>
      <c r="L55" s="16">
        <f t="shared" si="26"/>
        <v>1</v>
      </c>
      <c r="M55" s="16">
        <f t="shared" si="26"/>
        <v>0</v>
      </c>
      <c r="N55" s="16">
        <f t="shared" si="26"/>
        <v>0</v>
      </c>
      <c r="O55" s="16">
        <f t="shared" si="26"/>
        <v>0</v>
      </c>
      <c r="P55" s="16">
        <f t="shared" si="26"/>
        <v>0</v>
      </c>
      <c r="Q55" s="16">
        <f t="shared" si="26"/>
        <v>0</v>
      </c>
      <c r="R55" s="16">
        <f t="shared" si="26"/>
        <v>0</v>
      </c>
      <c r="S55" s="16">
        <f t="shared" si="26"/>
        <v>0</v>
      </c>
      <c r="T55" s="16">
        <f t="shared" si="26"/>
        <v>0</v>
      </c>
      <c r="U55" s="16">
        <f t="shared" si="7"/>
        <v>0</v>
      </c>
      <c r="V55" s="16">
        <f t="shared" si="8"/>
        <v>0</v>
      </c>
      <c r="W55" s="16">
        <f t="shared" si="8"/>
        <v>0</v>
      </c>
      <c r="Y55" s="51">
        <f t="shared" si="23"/>
        <v>77.05</v>
      </c>
      <c r="AA55" s="44">
        <f t="shared" si="24"/>
        <v>0</v>
      </c>
      <c r="AC55" s="16" t="str">
        <f t="shared" si="25"/>
        <v>A</v>
      </c>
    </row>
    <row r="56" spans="1:29" ht="18" customHeight="1" x14ac:dyDescent="0.3">
      <c r="A56" s="47" t="s">
        <v>72</v>
      </c>
      <c r="B56" s="48" t="str">
        <f>'Detailed Marks'!A35</f>
        <v>210157A</v>
      </c>
      <c r="C56" s="48" t="str">
        <f>'Detailed Marks'!B35</f>
        <v>EPA Y.R.A.</v>
      </c>
      <c r="D56" s="49"/>
      <c r="E56" s="6" t="str">
        <f t="shared" si="19"/>
        <v>A</v>
      </c>
      <c r="F56" s="68">
        <f t="shared" si="20"/>
        <v>83.45</v>
      </c>
      <c r="G56" s="50">
        <f>'Detailed Marks'!L35/'Detailed Marks'!$L$3*'Final Marks'!$G$24</f>
        <v>27.200000000000003</v>
      </c>
      <c r="H56" s="50">
        <f t="shared" si="21"/>
        <v>56.25</v>
      </c>
      <c r="I56" s="6">
        <f>'Detailed Marks'!M35</f>
        <v>56.25</v>
      </c>
      <c r="J56" s="6">
        <f t="shared" si="22"/>
        <v>1</v>
      </c>
      <c r="K56" s="16">
        <f t="shared" si="26"/>
        <v>0</v>
      </c>
      <c r="L56" s="16">
        <f t="shared" si="26"/>
        <v>1</v>
      </c>
      <c r="M56" s="16">
        <f t="shared" si="26"/>
        <v>0</v>
      </c>
      <c r="N56" s="16">
        <f t="shared" si="26"/>
        <v>0</v>
      </c>
      <c r="O56" s="16">
        <f t="shared" si="26"/>
        <v>0</v>
      </c>
      <c r="P56" s="16">
        <f t="shared" si="26"/>
        <v>0</v>
      </c>
      <c r="Q56" s="16">
        <f t="shared" si="26"/>
        <v>0</v>
      </c>
      <c r="R56" s="16">
        <f t="shared" si="26"/>
        <v>0</v>
      </c>
      <c r="S56" s="16">
        <f t="shared" si="26"/>
        <v>0</v>
      </c>
      <c r="T56" s="16">
        <f t="shared" si="26"/>
        <v>0</v>
      </c>
      <c r="U56" s="16">
        <f t="shared" si="7"/>
        <v>0</v>
      </c>
      <c r="V56" s="16">
        <f t="shared" si="8"/>
        <v>0</v>
      </c>
      <c r="W56" s="16">
        <f t="shared" si="8"/>
        <v>0</v>
      </c>
      <c r="Y56" s="51">
        <f t="shared" si="23"/>
        <v>83.45</v>
      </c>
      <c r="AA56" s="44">
        <f t="shared" si="24"/>
        <v>0</v>
      </c>
      <c r="AC56" s="16" t="str">
        <f t="shared" si="25"/>
        <v>A</v>
      </c>
    </row>
    <row r="57" spans="1:29" ht="18" customHeight="1" x14ac:dyDescent="0.3">
      <c r="A57" s="47" t="s">
        <v>72</v>
      </c>
      <c r="B57" s="48" t="str">
        <f>'Detailed Marks'!A36</f>
        <v>210162J</v>
      </c>
      <c r="C57" s="48" t="str">
        <f>'Detailed Marks'!B36</f>
        <v>FERNANDO N.I.S.P.</v>
      </c>
      <c r="D57" s="49"/>
      <c r="E57" s="6" t="str">
        <f t="shared" si="19"/>
        <v>C+</v>
      </c>
      <c r="F57" s="68">
        <f t="shared" si="20"/>
        <v>52.35</v>
      </c>
      <c r="G57" s="50">
        <f>'Detailed Marks'!L36/'Detailed Marks'!$L$3*'Final Marks'!$G$24</f>
        <v>14.600000000000001</v>
      </c>
      <c r="H57" s="50">
        <f t="shared" si="21"/>
        <v>37.75</v>
      </c>
      <c r="I57" s="6">
        <f>'Detailed Marks'!M36</f>
        <v>37.75</v>
      </c>
      <c r="J57" s="6" t="str">
        <f t="shared" si="22"/>
        <v/>
      </c>
      <c r="K57" s="16">
        <f t="shared" si="26"/>
        <v>0</v>
      </c>
      <c r="L57" s="16">
        <f t="shared" si="26"/>
        <v>0</v>
      </c>
      <c r="M57" s="16">
        <f t="shared" si="26"/>
        <v>0</v>
      </c>
      <c r="N57" s="16">
        <f t="shared" si="26"/>
        <v>0</v>
      </c>
      <c r="O57" s="16">
        <f t="shared" si="26"/>
        <v>0</v>
      </c>
      <c r="P57" s="16">
        <f t="shared" si="26"/>
        <v>0</v>
      </c>
      <c r="Q57" s="16">
        <f t="shared" si="26"/>
        <v>1</v>
      </c>
      <c r="R57" s="16">
        <f t="shared" si="26"/>
        <v>0</v>
      </c>
      <c r="S57" s="16">
        <f t="shared" si="26"/>
        <v>0</v>
      </c>
      <c r="T57" s="16">
        <f t="shared" si="26"/>
        <v>0</v>
      </c>
      <c r="U57" s="16">
        <f t="shared" si="7"/>
        <v>0</v>
      </c>
      <c r="V57" s="16">
        <f t="shared" si="8"/>
        <v>0</v>
      </c>
      <c r="W57" s="16">
        <f t="shared" si="8"/>
        <v>0</v>
      </c>
      <c r="Y57" s="51">
        <f t="shared" si="23"/>
        <v>52.35</v>
      </c>
      <c r="AA57" s="44">
        <f t="shared" si="24"/>
        <v>0</v>
      </c>
      <c r="AC57" s="16" t="str">
        <f t="shared" si="25"/>
        <v>C+</v>
      </c>
    </row>
    <row r="58" spans="1:29" ht="18" customHeight="1" x14ac:dyDescent="0.3">
      <c r="A58" s="47" t="s">
        <v>72</v>
      </c>
      <c r="B58" s="48" t="str">
        <f>'Detailed Marks'!A37</f>
        <v>210169L</v>
      </c>
      <c r="C58" s="48" t="str">
        <f>'Detailed Marks'!B37</f>
        <v>FERNANDO W.W.R.N.S.</v>
      </c>
      <c r="D58" s="49"/>
      <c r="E58" s="6" t="str">
        <f t="shared" si="19"/>
        <v>A</v>
      </c>
      <c r="F58" s="68">
        <f t="shared" si="20"/>
        <v>78.86</v>
      </c>
      <c r="G58" s="50">
        <f>'Detailed Marks'!L37/'Detailed Marks'!$L$3*'Final Marks'!$G$24</f>
        <v>27.400000000000002</v>
      </c>
      <c r="H58" s="50">
        <f t="shared" si="21"/>
        <v>51.46</v>
      </c>
      <c r="I58" s="6">
        <f>'Detailed Marks'!M37</f>
        <v>51.46</v>
      </c>
      <c r="J58" s="6">
        <f t="shared" si="22"/>
        <v>1</v>
      </c>
      <c r="K58" s="16">
        <f t="shared" si="26"/>
        <v>0</v>
      </c>
      <c r="L58" s="16">
        <f t="shared" si="26"/>
        <v>1</v>
      </c>
      <c r="M58" s="16">
        <f t="shared" si="26"/>
        <v>0</v>
      </c>
      <c r="N58" s="16">
        <f t="shared" si="26"/>
        <v>0</v>
      </c>
      <c r="O58" s="16">
        <f t="shared" si="26"/>
        <v>0</v>
      </c>
      <c r="P58" s="16">
        <f t="shared" si="26"/>
        <v>0</v>
      </c>
      <c r="Q58" s="16">
        <f t="shared" si="26"/>
        <v>0</v>
      </c>
      <c r="R58" s="16">
        <f t="shared" si="26"/>
        <v>0</v>
      </c>
      <c r="S58" s="16">
        <f t="shared" si="26"/>
        <v>0</v>
      </c>
      <c r="T58" s="16">
        <f t="shared" si="26"/>
        <v>0</v>
      </c>
      <c r="U58" s="16">
        <f t="shared" si="7"/>
        <v>0</v>
      </c>
      <c r="V58" s="16">
        <f t="shared" si="8"/>
        <v>0</v>
      </c>
      <c r="W58" s="16">
        <f t="shared" si="8"/>
        <v>0</v>
      </c>
      <c r="Y58" s="51">
        <f t="shared" si="23"/>
        <v>78.86</v>
      </c>
      <c r="AA58" s="44">
        <f t="shared" si="24"/>
        <v>0</v>
      </c>
      <c r="AC58" s="16" t="str">
        <f t="shared" si="25"/>
        <v>A</v>
      </c>
    </row>
    <row r="59" spans="1:29" ht="18" customHeight="1" x14ac:dyDescent="0.3">
      <c r="A59" s="47" t="s">
        <v>72</v>
      </c>
      <c r="B59" s="48" t="str">
        <f>'Detailed Marks'!A38</f>
        <v>210174X</v>
      </c>
      <c r="C59" s="48" t="str">
        <f>'Detailed Marks'!B38</f>
        <v>GALLELLA M.M.H.H.B.</v>
      </c>
      <c r="D59" s="49"/>
      <c r="E59" s="6" t="str">
        <f t="shared" si="19"/>
        <v>A+</v>
      </c>
      <c r="F59" s="68">
        <f t="shared" si="20"/>
        <v>88.990000000000009</v>
      </c>
      <c r="G59" s="50">
        <f>'Detailed Marks'!L38/'Detailed Marks'!$L$3*'Final Marks'!$G$24</f>
        <v>30.200000000000003</v>
      </c>
      <c r="H59" s="50">
        <f t="shared" si="21"/>
        <v>58.790000000000006</v>
      </c>
      <c r="I59" s="6">
        <f>'Detailed Marks'!M38</f>
        <v>58.79</v>
      </c>
      <c r="J59" s="6">
        <f t="shared" si="22"/>
        <v>1</v>
      </c>
      <c r="K59" s="16">
        <f t="shared" si="26"/>
        <v>1</v>
      </c>
      <c r="L59" s="16">
        <f t="shared" si="26"/>
        <v>0</v>
      </c>
      <c r="M59" s="16">
        <f t="shared" si="26"/>
        <v>0</v>
      </c>
      <c r="N59" s="16">
        <f t="shared" si="26"/>
        <v>0</v>
      </c>
      <c r="O59" s="16">
        <f t="shared" si="26"/>
        <v>0</v>
      </c>
      <c r="P59" s="16">
        <f t="shared" si="26"/>
        <v>0</v>
      </c>
      <c r="Q59" s="16">
        <f t="shared" si="26"/>
        <v>0</v>
      </c>
      <c r="R59" s="16">
        <f t="shared" si="26"/>
        <v>0</v>
      </c>
      <c r="S59" s="16">
        <f t="shared" si="26"/>
        <v>0</v>
      </c>
      <c r="T59" s="16">
        <f t="shared" si="26"/>
        <v>0</v>
      </c>
      <c r="U59" s="16">
        <f t="shared" si="7"/>
        <v>0</v>
      </c>
      <c r="V59" s="16">
        <f t="shared" si="8"/>
        <v>0</v>
      </c>
      <c r="W59" s="16">
        <f t="shared" si="8"/>
        <v>0</v>
      </c>
      <c r="Y59" s="51">
        <f t="shared" si="23"/>
        <v>88.990000000000009</v>
      </c>
      <c r="AA59" s="44">
        <f t="shared" si="24"/>
        <v>0</v>
      </c>
      <c r="AC59" s="16" t="str">
        <f t="shared" si="25"/>
        <v>A+</v>
      </c>
    </row>
    <row r="60" spans="1:29" ht="18" customHeight="1" x14ac:dyDescent="0.3">
      <c r="A60" s="47" t="s">
        <v>72</v>
      </c>
      <c r="B60" s="48" t="str">
        <f>'Detailed Marks'!A39</f>
        <v>210179R</v>
      </c>
      <c r="C60" s="48" t="str">
        <f>'Detailed Marks'!B39</f>
        <v>GAMMUNE D.J.T.</v>
      </c>
      <c r="D60" s="49"/>
      <c r="E60" s="6" t="str">
        <f t="shared" si="19"/>
        <v>A</v>
      </c>
      <c r="F60" s="68">
        <f t="shared" si="20"/>
        <v>78.740000000000009</v>
      </c>
      <c r="G60" s="50">
        <f>'Detailed Marks'!L39/'Detailed Marks'!$L$3*'Final Marks'!$G$24</f>
        <v>27.200000000000003</v>
      </c>
      <c r="H60" s="50">
        <f t="shared" si="21"/>
        <v>51.54</v>
      </c>
      <c r="I60" s="6">
        <f>'Detailed Marks'!M39</f>
        <v>51.54</v>
      </c>
      <c r="J60" s="6">
        <f t="shared" si="22"/>
        <v>1</v>
      </c>
      <c r="K60" s="16">
        <f t="shared" si="26"/>
        <v>0</v>
      </c>
      <c r="L60" s="16">
        <f t="shared" si="26"/>
        <v>1</v>
      </c>
      <c r="M60" s="16">
        <f t="shared" si="26"/>
        <v>0</v>
      </c>
      <c r="N60" s="16">
        <f t="shared" si="26"/>
        <v>0</v>
      </c>
      <c r="O60" s="16">
        <f t="shared" si="26"/>
        <v>0</v>
      </c>
      <c r="P60" s="16">
        <f t="shared" si="26"/>
        <v>0</v>
      </c>
      <c r="Q60" s="16">
        <f t="shared" si="26"/>
        <v>0</v>
      </c>
      <c r="R60" s="16">
        <f t="shared" si="26"/>
        <v>0</v>
      </c>
      <c r="S60" s="16">
        <f t="shared" si="26"/>
        <v>0</v>
      </c>
      <c r="T60" s="16">
        <f t="shared" si="26"/>
        <v>0</v>
      </c>
      <c r="U60" s="16">
        <f t="shared" si="7"/>
        <v>0</v>
      </c>
      <c r="V60" s="16">
        <f t="shared" si="8"/>
        <v>0</v>
      </c>
      <c r="W60" s="16">
        <f t="shared" si="8"/>
        <v>0</v>
      </c>
      <c r="Y60" s="51">
        <f t="shared" si="23"/>
        <v>78.740000000000009</v>
      </c>
      <c r="AA60" s="44">
        <f t="shared" si="24"/>
        <v>0</v>
      </c>
      <c r="AC60" s="16" t="str">
        <f t="shared" si="25"/>
        <v>A</v>
      </c>
    </row>
    <row r="61" spans="1:29" ht="18" customHeight="1" x14ac:dyDescent="0.3">
      <c r="A61" s="47" t="s">
        <v>72</v>
      </c>
      <c r="B61" s="48" t="str">
        <f>'Detailed Marks'!A40</f>
        <v>210199D</v>
      </c>
      <c r="C61" s="48" t="str">
        <f>'Detailed Marks'!B40</f>
        <v>GUNAWARDANA W.N.M.</v>
      </c>
      <c r="D61" s="49"/>
      <c r="E61" s="6" t="str">
        <f t="shared" si="19"/>
        <v>A-</v>
      </c>
      <c r="F61" s="68">
        <f t="shared" si="20"/>
        <v>72.38</v>
      </c>
      <c r="G61" s="50">
        <f>'Detailed Marks'!L40/'Detailed Marks'!$L$3*'Final Marks'!$G$24</f>
        <v>23</v>
      </c>
      <c r="H61" s="50">
        <f t="shared" si="21"/>
        <v>49.38</v>
      </c>
      <c r="I61" s="6">
        <f>'Detailed Marks'!M40</f>
        <v>49.38</v>
      </c>
      <c r="J61" s="6">
        <f t="shared" si="22"/>
        <v>1</v>
      </c>
      <c r="K61" s="16">
        <f t="shared" si="26"/>
        <v>0</v>
      </c>
      <c r="L61" s="16">
        <f t="shared" si="26"/>
        <v>0</v>
      </c>
      <c r="M61" s="16">
        <f t="shared" si="26"/>
        <v>1</v>
      </c>
      <c r="N61" s="16">
        <f t="shared" si="26"/>
        <v>0</v>
      </c>
      <c r="O61" s="16">
        <f t="shared" si="26"/>
        <v>0</v>
      </c>
      <c r="P61" s="16">
        <f t="shared" si="26"/>
        <v>0</v>
      </c>
      <c r="Q61" s="16">
        <f t="shared" si="26"/>
        <v>0</v>
      </c>
      <c r="R61" s="16">
        <f t="shared" si="26"/>
        <v>0</v>
      </c>
      <c r="S61" s="16">
        <f t="shared" si="26"/>
        <v>0</v>
      </c>
      <c r="T61" s="16">
        <f t="shared" si="26"/>
        <v>0</v>
      </c>
      <c r="U61" s="16">
        <f t="shared" si="7"/>
        <v>0</v>
      </c>
      <c r="V61" s="16">
        <f t="shared" si="8"/>
        <v>0</v>
      </c>
      <c r="W61" s="16">
        <f t="shared" si="8"/>
        <v>0</v>
      </c>
      <c r="Y61" s="51">
        <f t="shared" si="23"/>
        <v>72.38</v>
      </c>
      <c r="AA61" s="44">
        <f t="shared" si="24"/>
        <v>0</v>
      </c>
      <c r="AC61" s="16" t="str">
        <f t="shared" si="25"/>
        <v>A-</v>
      </c>
    </row>
    <row r="62" spans="1:29" ht="18" customHeight="1" x14ac:dyDescent="0.3">
      <c r="A62" s="47" t="s">
        <v>72</v>
      </c>
      <c r="B62" s="48" t="str">
        <f>'Detailed Marks'!A41</f>
        <v>210200C</v>
      </c>
      <c r="C62" s="48" t="str">
        <f>'Detailed Marks'!B41</f>
        <v>GUNAWARDANE E.R.N.H.</v>
      </c>
      <c r="D62" s="49"/>
      <c r="E62" s="6" t="str">
        <f t="shared" si="19"/>
        <v>A</v>
      </c>
      <c r="F62" s="68">
        <f t="shared" si="20"/>
        <v>81.33</v>
      </c>
      <c r="G62" s="50">
        <f>'Detailed Marks'!L41/'Detailed Marks'!$L$3*'Final Marks'!$G$24</f>
        <v>28</v>
      </c>
      <c r="H62" s="50">
        <f t="shared" si="21"/>
        <v>53.33</v>
      </c>
      <c r="I62" s="6">
        <f>'Detailed Marks'!M41</f>
        <v>53.33</v>
      </c>
      <c r="J62" s="6">
        <f t="shared" si="22"/>
        <v>1</v>
      </c>
      <c r="K62" s="16">
        <f t="shared" si="26"/>
        <v>0</v>
      </c>
      <c r="L62" s="16">
        <f t="shared" si="26"/>
        <v>1</v>
      </c>
      <c r="M62" s="16">
        <f t="shared" si="26"/>
        <v>0</v>
      </c>
      <c r="N62" s="16">
        <f t="shared" si="26"/>
        <v>0</v>
      </c>
      <c r="O62" s="16">
        <f t="shared" si="26"/>
        <v>0</v>
      </c>
      <c r="P62" s="16">
        <f t="shared" si="26"/>
        <v>0</v>
      </c>
      <c r="Q62" s="16">
        <f t="shared" si="26"/>
        <v>0</v>
      </c>
      <c r="R62" s="16">
        <f t="shared" si="26"/>
        <v>0</v>
      </c>
      <c r="S62" s="16">
        <f t="shared" si="26"/>
        <v>0</v>
      </c>
      <c r="T62" s="16">
        <f t="shared" si="26"/>
        <v>0</v>
      </c>
      <c r="U62" s="16">
        <f t="shared" si="7"/>
        <v>0</v>
      </c>
      <c r="V62" s="16">
        <f t="shared" si="8"/>
        <v>0</v>
      </c>
      <c r="W62" s="16">
        <f t="shared" si="8"/>
        <v>0</v>
      </c>
      <c r="Y62" s="51">
        <f t="shared" si="23"/>
        <v>81.33</v>
      </c>
      <c r="AA62" s="44">
        <f t="shared" si="24"/>
        <v>0</v>
      </c>
      <c r="AC62" s="16" t="str">
        <f t="shared" si="25"/>
        <v>A</v>
      </c>
    </row>
    <row r="63" spans="1:29" ht="18" customHeight="1" x14ac:dyDescent="0.3">
      <c r="A63" s="47" t="s">
        <v>72</v>
      </c>
      <c r="B63" s="48" t="str">
        <f>'Detailed Marks'!A42</f>
        <v>210204R</v>
      </c>
      <c r="C63" s="48" t="str">
        <f>'Detailed Marks'!B42</f>
        <v>HANSINDU K.A.A.</v>
      </c>
      <c r="D63" s="49"/>
      <c r="E63" s="6" t="str">
        <f t="shared" si="19"/>
        <v>A</v>
      </c>
      <c r="F63" s="68">
        <f t="shared" si="20"/>
        <v>79.62</v>
      </c>
      <c r="G63" s="50">
        <f>'Detailed Marks'!L42/'Detailed Marks'!$L$3*'Final Marks'!$G$24</f>
        <v>24.200000000000003</v>
      </c>
      <c r="H63" s="50">
        <f t="shared" si="21"/>
        <v>55.420000000000009</v>
      </c>
      <c r="I63" s="6">
        <f>'Detailed Marks'!M42</f>
        <v>55.42</v>
      </c>
      <c r="J63" s="6">
        <f t="shared" si="22"/>
        <v>1</v>
      </c>
      <c r="K63" s="16">
        <f t="shared" si="26"/>
        <v>0</v>
      </c>
      <c r="L63" s="16">
        <f t="shared" si="26"/>
        <v>1</v>
      </c>
      <c r="M63" s="16">
        <f t="shared" si="26"/>
        <v>0</v>
      </c>
      <c r="N63" s="16">
        <f t="shared" si="26"/>
        <v>0</v>
      </c>
      <c r="O63" s="16">
        <f t="shared" si="26"/>
        <v>0</v>
      </c>
      <c r="P63" s="16">
        <f t="shared" si="26"/>
        <v>0</v>
      </c>
      <c r="Q63" s="16">
        <f t="shared" si="26"/>
        <v>0</v>
      </c>
      <c r="R63" s="16">
        <f t="shared" si="26"/>
        <v>0</v>
      </c>
      <c r="S63" s="16">
        <f t="shared" si="26"/>
        <v>0</v>
      </c>
      <c r="T63" s="16">
        <f t="shared" si="26"/>
        <v>0</v>
      </c>
      <c r="U63" s="16">
        <f t="shared" si="7"/>
        <v>0</v>
      </c>
      <c r="V63" s="16">
        <f t="shared" si="8"/>
        <v>0</v>
      </c>
      <c r="W63" s="16">
        <f t="shared" si="8"/>
        <v>0</v>
      </c>
      <c r="Y63" s="51">
        <f t="shared" si="23"/>
        <v>79.62</v>
      </c>
      <c r="AA63" s="44">
        <f t="shared" si="24"/>
        <v>0</v>
      </c>
      <c r="AC63" s="16" t="str">
        <f t="shared" si="25"/>
        <v>A</v>
      </c>
    </row>
    <row r="64" spans="1:29" ht="18" customHeight="1" x14ac:dyDescent="0.3">
      <c r="A64" s="47" t="s">
        <v>72</v>
      </c>
      <c r="B64" s="48" t="str">
        <f>'Detailed Marks'!A43</f>
        <v>210212N</v>
      </c>
      <c r="C64" s="48" t="str">
        <f>'Detailed Marks'!B43</f>
        <v>HERATH B.H.M.K.S.B.</v>
      </c>
      <c r="D64" s="49"/>
      <c r="E64" s="6" t="str">
        <f t="shared" si="19"/>
        <v>A</v>
      </c>
      <c r="F64" s="68">
        <f t="shared" si="20"/>
        <v>80.8</v>
      </c>
      <c r="G64" s="50">
        <f>'Detailed Marks'!L43/'Detailed Marks'!$L$3*'Final Marks'!$G$24</f>
        <v>26.8</v>
      </c>
      <c r="H64" s="50">
        <f t="shared" si="21"/>
        <v>54</v>
      </c>
      <c r="I64" s="6">
        <f>'Detailed Marks'!M43</f>
        <v>54</v>
      </c>
      <c r="J64" s="6">
        <f t="shared" si="22"/>
        <v>1</v>
      </c>
      <c r="K64" s="16">
        <f t="shared" si="26"/>
        <v>0</v>
      </c>
      <c r="L64" s="16">
        <f t="shared" si="26"/>
        <v>1</v>
      </c>
      <c r="M64" s="16">
        <f t="shared" si="26"/>
        <v>0</v>
      </c>
      <c r="N64" s="16">
        <f t="shared" si="26"/>
        <v>0</v>
      </c>
      <c r="O64" s="16">
        <f t="shared" si="26"/>
        <v>0</v>
      </c>
      <c r="P64" s="16">
        <f t="shared" si="26"/>
        <v>0</v>
      </c>
      <c r="Q64" s="16">
        <f t="shared" si="26"/>
        <v>0</v>
      </c>
      <c r="R64" s="16">
        <f t="shared" si="26"/>
        <v>0</v>
      </c>
      <c r="S64" s="16">
        <f t="shared" si="26"/>
        <v>0</v>
      </c>
      <c r="T64" s="16">
        <f t="shared" si="26"/>
        <v>0</v>
      </c>
      <c r="U64" s="16">
        <f t="shared" si="7"/>
        <v>0</v>
      </c>
      <c r="V64" s="16">
        <f t="shared" si="8"/>
        <v>0</v>
      </c>
      <c r="W64" s="16">
        <f t="shared" si="8"/>
        <v>0</v>
      </c>
      <c r="Y64" s="51">
        <f t="shared" si="23"/>
        <v>80.8</v>
      </c>
      <c r="AA64" s="44">
        <f t="shared" si="24"/>
        <v>0</v>
      </c>
      <c r="AC64" s="16" t="str">
        <f t="shared" si="25"/>
        <v>A</v>
      </c>
    </row>
    <row r="65" spans="1:29" ht="18" customHeight="1" x14ac:dyDescent="0.3">
      <c r="A65" s="47" t="s">
        <v>72</v>
      </c>
      <c r="B65" s="48" t="str">
        <f>'Detailed Marks'!A44</f>
        <v>210215C</v>
      </c>
      <c r="C65" s="48" t="str">
        <f>'Detailed Marks'!B44</f>
        <v>HERATH H.M.D.P.</v>
      </c>
      <c r="D65" s="49"/>
      <c r="E65" s="6" t="str">
        <f t="shared" si="19"/>
        <v>A-</v>
      </c>
      <c r="F65" s="68">
        <f t="shared" si="20"/>
        <v>69.56</v>
      </c>
      <c r="G65" s="50">
        <f>'Detailed Marks'!L44/'Detailed Marks'!$L$3*'Final Marks'!$G$24</f>
        <v>17.600000000000001</v>
      </c>
      <c r="H65" s="50">
        <f t="shared" si="21"/>
        <v>51.96</v>
      </c>
      <c r="I65" s="6">
        <f>'Detailed Marks'!M44</f>
        <v>51.96</v>
      </c>
      <c r="J65" s="6">
        <f t="shared" si="22"/>
        <v>1</v>
      </c>
      <c r="K65" s="16">
        <f t="shared" si="26"/>
        <v>0</v>
      </c>
      <c r="L65" s="16">
        <f t="shared" si="26"/>
        <v>0</v>
      </c>
      <c r="M65" s="16">
        <f t="shared" si="26"/>
        <v>1</v>
      </c>
      <c r="N65" s="16">
        <f t="shared" si="26"/>
        <v>0</v>
      </c>
      <c r="O65" s="16">
        <f t="shared" si="26"/>
        <v>0</v>
      </c>
      <c r="P65" s="16">
        <f t="shared" si="26"/>
        <v>0</v>
      </c>
      <c r="Q65" s="16">
        <f t="shared" si="26"/>
        <v>0</v>
      </c>
      <c r="R65" s="16">
        <f t="shared" si="26"/>
        <v>0</v>
      </c>
      <c r="S65" s="16">
        <f t="shared" si="26"/>
        <v>0</v>
      </c>
      <c r="T65" s="16">
        <f t="shared" si="26"/>
        <v>0</v>
      </c>
      <c r="U65" s="16">
        <f t="shared" si="7"/>
        <v>0</v>
      </c>
      <c r="V65" s="16">
        <f t="shared" si="8"/>
        <v>0</v>
      </c>
      <c r="W65" s="16">
        <f t="shared" si="8"/>
        <v>0</v>
      </c>
      <c r="Y65" s="51">
        <f t="shared" si="23"/>
        <v>69.56</v>
      </c>
      <c r="AA65" s="44">
        <f t="shared" si="24"/>
        <v>0</v>
      </c>
      <c r="AC65" s="16" t="str">
        <f t="shared" si="25"/>
        <v>A-</v>
      </c>
    </row>
    <row r="66" spans="1:29" ht="18" customHeight="1" x14ac:dyDescent="0.3">
      <c r="A66" s="47" t="s">
        <v>72</v>
      </c>
      <c r="B66" s="48" t="str">
        <f>'Detailed Marks'!A45</f>
        <v>210218M</v>
      </c>
      <c r="C66" s="48" t="str">
        <f>'Detailed Marks'!B45</f>
        <v>HERATH H.M.S.I.</v>
      </c>
      <c r="D66" s="49"/>
      <c r="E66" s="6" t="str">
        <f t="shared" si="19"/>
        <v>A</v>
      </c>
      <c r="F66" s="68">
        <f t="shared" si="20"/>
        <v>78.08</v>
      </c>
      <c r="G66" s="50">
        <f>'Detailed Marks'!L45/'Detailed Marks'!$L$3*'Final Marks'!$G$24</f>
        <v>23.200000000000003</v>
      </c>
      <c r="H66" s="50">
        <f t="shared" si="21"/>
        <v>54.879999999999995</v>
      </c>
      <c r="I66" s="6">
        <f>'Detailed Marks'!M45</f>
        <v>54.88</v>
      </c>
      <c r="J66" s="6">
        <f t="shared" si="22"/>
        <v>1</v>
      </c>
      <c r="K66" s="16">
        <f t="shared" si="26"/>
        <v>0</v>
      </c>
      <c r="L66" s="16">
        <f t="shared" si="26"/>
        <v>1</v>
      </c>
      <c r="M66" s="16">
        <f t="shared" si="26"/>
        <v>0</v>
      </c>
      <c r="N66" s="16">
        <f t="shared" si="26"/>
        <v>0</v>
      </c>
      <c r="O66" s="16">
        <f t="shared" si="26"/>
        <v>0</v>
      </c>
      <c r="P66" s="16">
        <f t="shared" si="26"/>
        <v>0</v>
      </c>
      <c r="Q66" s="16">
        <f t="shared" si="26"/>
        <v>0</v>
      </c>
      <c r="R66" s="16">
        <f t="shared" si="26"/>
        <v>0</v>
      </c>
      <c r="S66" s="16">
        <f t="shared" si="26"/>
        <v>0</v>
      </c>
      <c r="T66" s="16">
        <f t="shared" si="26"/>
        <v>0</v>
      </c>
      <c r="U66" s="16">
        <f t="shared" si="7"/>
        <v>0</v>
      </c>
      <c r="V66" s="16">
        <f t="shared" si="8"/>
        <v>0</v>
      </c>
      <c r="W66" s="16">
        <f t="shared" si="8"/>
        <v>0</v>
      </c>
      <c r="Y66" s="51">
        <f t="shared" si="23"/>
        <v>78.08</v>
      </c>
      <c r="AA66" s="44">
        <f t="shared" si="24"/>
        <v>0</v>
      </c>
      <c r="AC66" s="16" t="str">
        <f t="shared" si="25"/>
        <v>A</v>
      </c>
    </row>
    <row r="67" spans="1:29" ht="18" customHeight="1" x14ac:dyDescent="0.3">
      <c r="A67" s="47" t="s">
        <v>72</v>
      </c>
      <c r="B67" s="48" t="str">
        <f>'Detailed Marks'!A46</f>
        <v>210222U</v>
      </c>
      <c r="C67" s="48" t="str">
        <f>'Detailed Marks'!B46</f>
        <v>HEWAGAMAGE K.L.N.</v>
      </c>
      <c r="D67" s="49"/>
      <c r="E67" s="6" t="str">
        <f t="shared" si="19"/>
        <v>A</v>
      </c>
      <c r="F67" s="68">
        <f t="shared" si="20"/>
        <v>79.39</v>
      </c>
      <c r="G67" s="50">
        <f>'Detailed Marks'!L46/'Detailed Marks'!$L$3*'Final Marks'!$G$24</f>
        <v>22.6</v>
      </c>
      <c r="H67" s="50">
        <f t="shared" si="21"/>
        <v>56.79</v>
      </c>
      <c r="I67" s="6">
        <f>'Detailed Marks'!M46</f>
        <v>56.79</v>
      </c>
      <c r="J67" s="6">
        <f t="shared" si="22"/>
        <v>1</v>
      </c>
      <c r="K67" s="16">
        <f t="shared" si="26"/>
        <v>0</v>
      </c>
      <c r="L67" s="16">
        <f t="shared" si="26"/>
        <v>1</v>
      </c>
      <c r="M67" s="16">
        <f t="shared" si="26"/>
        <v>0</v>
      </c>
      <c r="N67" s="16">
        <f t="shared" si="26"/>
        <v>0</v>
      </c>
      <c r="O67" s="16">
        <f t="shared" si="26"/>
        <v>0</v>
      </c>
      <c r="P67" s="16">
        <f t="shared" si="26"/>
        <v>0</v>
      </c>
      <c r="Q67" s="16">
        <f t="shared" si="26"/>
        <v>0</v>
      </c>
      <c r="R67" s="16">
        <f t="shared" si="26"/>
        <v>0</v>
      </c>
      <c r="S67" s="16">
        <f t="shared" si="26"/>
        <v>0</v>
      </c>
      <c r="T67" s="16">
        <f t="shared" si="26"/>
        <v>0</v>
      </c>
      <c r="U67" s="16">
        <f t="shared" si="7"/>
        <v>0</v>
      </c>
      <c r="V67" s="16">
        <f t="shared" si="8"/>
        <v>0</v>
      </c>
      <c r="W67" s="16">
        <f t="shared" si="8"/>
        <v>0</v>
      </c>
      <c r="Y67" s="51">
        <f t="shared" si="23"/>
        <v>79.39</v>
      </c>
      <c r="AA67" s="44">
        <f t="shared" si="24"/>
        <v>0</v>
      </c>
      <c r="AC67" s="16" t="str">
        <f t="shared" si="25"/>
        <v>A</v>
      </c>
    </row>
    <row r="68" spans="1:29" ht="18" customHeight="1" x14ac:dyDescent="0.3">
      <c r="A68" s="47" t="s">
        <v>72</v>
      </c>
      <c r="B68" s="48" t="str">
        <f>'Detailed Marks'!A47</f>
        <v>210234H</v>
      </c>
      <c r="C68" s="48" t="str">
        <f>'Detailed Marks'!B47</f>
        <v>JANANDITH W.A.O.</v>
      </c>
      <c r="D68" s="49"/>
      <c r="E68" s="6" t="str">
        <f t="shared" si="19"/>
        <v>A</v>
      </c>
      <c r="F68" s="68">
        <f t="shared" si="20"/>
        <v>78.63</v>
      </c>
      <c r="G68" s="50">
        <f>'Detailed Marks'!L47/'Detailed Marks'!$L$3*'Final Marks'!$G$24</f>
        <v>26.200000000000003</v>
      </c>
      <c r="H68" s="50">
        <f t="shared" si="21"/>
        <v>52.43</v>
      </c>
      <c r="I68" s="6">
        <f>'Detailed Marks'!M47</f>
        <v>52.43</v>
      </c>
      <c r="J68" s="6">
        <f t="shared" si="22"/>
        <v>1</v>
      </c>
      <c r="K68" s="16">
        <f t="shared" si="26"/>
        <v>0</v>
      </c>
      <c r="L68" s="16">
        <f t="shared" si="26"/>
        <v>1</v>
      </c>
      <c r="M68" s="16">
        <f t="shared" si="26"/>
        <v>0</v>
      </c>
      <c r="N68" s="16">
        <f t="shared" si="26"/>
        <v>0</v>
      </c>
      <c r="O68" s="16">
        <f t="shared" si="26"/>
        <v>0</v>
      </c>
      <c r="P68" s="16">
        <f t="shared" si="26"/>
        <v>0</v>
      </c>
      <c r="Q68" s="16">
        <f t="shared" si="26"/>
        <v>0</v>
      </c>
      <c r="R68" s="16">
        <f t="shared" si="26"/>
        <v>0</v>
      </c>
      <c r="S68" s="16">
        <f t="shared" si="26"/>
        <v>0</v>
      </c>
      <c r="T68" s="16">
        <f t="shared" si="26"/>
        <v>0</v>
      </c>
      <c r="U68" s="16">
        <f t="shared" si="7"/>
        <v>0</v>
      </c>
      <c r="V68" s="16">
        <f t="shared" si="8"/>
        <v>0</v>
      </c>
      <c r="W68" s="16">
        <f t="shared" si="8"/>
        <v>0</v>
      </c>
      <c r="Y68" s="51">
        <f t="shared" si="23"/>
        <v>78.63</v>
      </c>
      <c r="AA68" s="44">
        <f t="shared" si="24"/>
        <v>0</v>
      </c>
      <c r="AC68" s="16" t="str">
        <f t="shared" si="25"/>
        <v>A</v>
      </c>
    </row>
    <row r="69" spans="1:29" ht="18" customHeight="1" x14ac:dyDescent="0.3">
      <c r="A69" s="47" t="s">
        <v>72</v>
      </c>
      <c r="B69" s="48" t="str">
        <f>'Detailed Marks'!A48</f>
        <v>210236P</v>
      </c>
      <c r="C69" s="48" t="str">
        <f>'Detailed Marks'!B48</f>
        <v>JAYAKUMAR W.S.</v>
      </c>
      <c r="D69" s="49"/>
      <c r="E69" s="6" t="str">
        <f t="shared" si="19"/>
        <v>A+</v>
      </c>
      <c r="F69" s="68">
        <f t="shared" si="20"/>
        <v>84.699999999999989</v>
      </c>
      <c r="G69" s="50">
        <f>'Detailed Marks'!L48/'Detailed Marks'!$L$3*'Final Marks'!$G$24</f>
        <v>30.200000000000003</v>
      </c>
      <c r="H69" s="50">
        <f t="shared" si="21"/>
        <v>54.499999999999993</v>
      </c>
      <c r="I69" s="6">
        <f>'Detailed Marks'!M48</f>
        <v>54.5</v>
      </c>
      <c r="J69" s="6">
        <f t="shared" si="22"/>
        <v>1</v>
      </c>
      <c r="K69" s="16">
        <f t="shared" si="26"/>
        <v>1</v>
      </c>
      <c r="L69" s="16">
        <f t="shared" si="26"/>
        <v>0</v>
      </c>
      <c r="M69" s="16">
        <f t="shared" si="26"/>
        <v>0</v>
      </c>
      <c r="N69" s="16">
        <f t="shared" si="26"/>
        <v>0</v>
      </c>
      <c r="O69" s="16">
        <f t="shared" si="26"/>
        <v>0</v>
      </c>
      <c r="P69" s="16">
        <f t="shared" si="26"/>
        <v>0</v>
      </c>
      <c r="Q69" s="16">
        <f t="shared" si="26"/>
        <v>0</v>
      </c>
      <c r="R69" s="16">
        <f t="shared" si="26"/>
        <v>0</v>
      </c>
      <c r="S69" s="16">
        <f t="shared" si="26"/>
        <v>0</v>
      </c>
      <c r="T69" s="16">
        <f t="shared" si="26"/>
        <v>0</v>
      </c>
      <c r="U69" s="16">
        <f t="shared" si="7"/>
        <v>0</v>
      </c>
      <c r="V69" s="16">
        <f t="shared" si="8"/>
        <v>0</v>
      </c>
      <c r="W69" s="16">
        <f t="shared" si="8"/>
        <v>0</v>
      </c>
      <c r="Y69" s="51">
        <f t="shared" si="23"/>
        <v>84.699999999999989</v>
      </c>
      <c r="AA69" s="44">
        <f t="shared" si="24"/>
        <v>0</v>
      </c>
      <c r="AC69" s="16" t="str">
        <f t="shared" si="25"/>
        <v>A+</v>
      </c>
    </row>
    <row r="70" spans="1:29" ht="18" customHeight="1" x14ac:dyDescent="0.3">
      <c r="A70" s="47" t="s">
        <v>72</v>
      </c>
      <c r="B70" s="48" t="str">
        <f>'Detailed Marks'!A49</f>
        <v>210248E</v>
      </c>
      <c r="C70" s="48" t="str">
        <f>'Detailed Marks'!B49</f>
        <v>JAYASINGHE J.M.C.N.B.</v>
      </c>
      <c r="D70" s="49"/>
      <c r="E70" s="6" t="str">
        <f t="shared" si="19"/>
        <v>B+</v>
      </c>
      <c r="F70" s="68">
        <f t="shared" si="20"/>
        <v>66.760000000000005</v>
      </c>
      <c r="G70" s="50">
        <f>'Detailed Marks'!L49/'Detailed Marks'!$L$3*'Final Marks'!$G$24</f>
        <v>17.8</v>
      </c>
      <c r="H70" s="50">
        <f t="shared" si="21"/>
        <v>48.96</v>
      </c>
      <c r="I70" s="6">
        <f>'Detailed Marks'!M49</f>
        <v>48.96</v>
      </c>
      <c r="J70" s="6">
        <f t="shared" si="22"/>
        <v>1</v>
      </c>
      <c r="K70" s="16">
        <f t="shared" si="26"/>
        <v>0</v>
      </c>
      <c r="L70" s="16">
        <f t="shared" si="26"/>
        <v>0</v>
      </c>
      <c r="M70" s="16">
        <f t="shared" si="26"/>
        <v>0</v>
      </c>
      <c r="N70" s="16">
        <f t="shared" si="26"/>
        <v>1</v>
      </c>
      <c r="O70" s="16">
        <f t="shared" si="26"/>
        <v>0</v>
      </c>
      <c r="P70" s="16">
        <f t="shared" si="26"/>
        <v>0</v>
      </c>
      <c r="Q70" s="16">
        <f t="shared" si="26"/>
        <v>0</v>
      </c>
      <c r="R70" s="16">
        <f t="shared" si="26"/>
        <v>0</v>
      </c>
      <c r="S70" s="16">
        <f t="shared" si="26"/>
        <v>0</v>
      </c>
      <c r="T70" s="16">
        <f t="shared" si="26"/>
        <v>0</v>
      </c>
      <c r="U70" s="16">
        <f t="shared" si="7"/>
        <v>0</v>
      </c>
      <c r="V70" s="16">
        <f t="shared" si="8"/>
        <v>0</v>
      </c>
      <c r="W70" s="16">
        <f t="shared" si="8"/>
        <v>0</v>
      </c>
      <c r="Y70" s="51">
        <f t="shared" si="23"/>
        <v>66.760000000000005</v>
      </c>
      <c r="AA70" s="44">
        <f t="shared" si="24"/>
        <v>0</v>
      </c>
      <c r="AC70" s="16" t="str">
        <f t="shared" si="25"/>
        <v>B+</v>
      </c>
    </row>
    <row r="71" spans="1:29" ht="18" customHeight="1" x14ac:dyDescent="0.3">
      <c r="A71" s="47" t="s">
        <v>72</v>
      </c>
      <c r="B71" s="48" t="str">
        <f>'Detailed Marks'!A50</f>
        <v>210253N</v>
      </c>
      <c r="C71" s="48" t="str">
        <f>'Detailed Marks'!B50</f>
        <v>JAYATHILAKA C.B.N.L.</v>
      </c>
      <c r="D71" s="49"/>
      <c r="E71" s="6" t="str">
        <f t="shared" si="19"/>
        <v>A</v>
      </c>
      <c r="F71" s="68">
        <f t="shared" si="20"/>
        <v>81.050000000000011</v>
      </c>
      <c r="G71" s="50">
        <f>'Detailed Marks'!L50/'Detailed Marks'!$L$3*'Final Marks'!$G$24</f>
        <v>27.200000000000003</v>
      </c>
      <c r="H71" s="50">
        <f t="shared" si="21"/>
        <v>53.850000000000009</v>
      </c>
      <c r="I71" s="6">
        <f>'Detailed Marks'!M50</f>
        <v>53.85</v>
      </c>
      <c r="J71" s="6">
        <f t="shared" si="22"/>
        <v>1</v>
      </c>
      <c r="K71" s="16">
        <f t="shared" si="26"/>
        <v>0</v>
      </c>
      <c r="L71" s="16">
        <f t="shared" si="26"/>
        <v>1</v>
      </c>
      <c r="M71" s="16">
        <f t="shared" si="26"/>
        <v>0</v>
      </c>
      <c r="N71" s="16">
        <f t="shared" si="26"/>
        <v>0</v>
      </c>
      <c r="O71" s="16">
        <f t="shared" si="26"/>
        <v>0</v>
      </c>
      <c r="P71" s="16">
        <f t="shared" si="26"/>
        <v>0</v>
      </c>
      <c r="Q71" s="16">
        <f t="shared" si="26"/>
        <v>0</v>
      </c>
      <c r="R71" s="16">
        <f t="shared" si="26"/>
        <v>0</v>
      </c>
      <c r="S71" s="16">
        <f t="shared" si="26"/>
        <v>0</v>
      </c>
      <c r="T71" s="16">
        <f t="shared" si="26"/>
        <v>0</v>
      </c>
      <c r="U71" s="16">
        <f t="shared" si="7"/>
        <v>0</v>
      </c>
      <c r="V71" s="16">
        <f t="shared" si="8"/>
        <v>0</v>
      </c>
      <c r="W71" s="16">
        <f t="shared" si="8"/>
        <v>0</v>
      </c>
      <c r="Y71" s="51">
        <f t="shared" si="23"/>
        <v>81.050000000000011</v>
      </c>
      <c r="AA71" s="44">
        <f t="shared" si="24"/>
        <v>0</v>
      </c>
      <c r="AC71" s="16" t="str">
        <f t="shared" si="25"/>
        <v>A</v>
      </c>
    </row>
    <row r="72" spans="1:29" ht="18" customHeight="1" x14ac:dyDescent="0.3">
      <c r="A72" s="47" t="s">
        <v>72</v>
      </c>
      <c r="B72" s="48" t="str">
        <f>'Detailed Marks'!A51</f>
        <v>210254T</v>
      </c>
      <c r="C72" s="48" t="str">
        <f>'Detailed Marks'!B51</f>
        <v>JAYATHILAKA D.E.U.</v>
      </c>
      <c r="D72" s="49"/>
      <c r="E72" s="6" t="str">
        <f t="shared" si="19"/>
        <v>A</v>
      </c>
      <c r="F72" s="68">
        <f t="shared" si="20"/>
        <v>79.28</v>
      </c>
      <c r="G72" s="50">
        <f>'Detailed Marks'!L51/'Detailed Marks'!$L$3*'Final Marks'!$G$24</f>
        <v>25.200000000000003</v>
      </c>
      <c r="H72" s="50">
        <f t="shared" si="21"/>
        <v>54.080000000000005</v>
      </c>
      <c r="I72" s="6">
        <f>'Detailed Marks'!M51</f>
        <v>54.08</v>
      </c>
      <c r="J72" s="6">
        <f t="shared" si="22"/>
        <v>1</v>
      </c>
      <c r="K72" s="16">
        <f t="shared" si="26"/>
        <v>0</v>
      </c>
      <c r="L72" s="16">
        <f t="shared" si="26"/>
        <v>1</v>
      </c>
      <c r="M72" s="16">
        <f t="shared" si="26"/>
        <v>0</v>
      </c>
      <c r="N72" s="16">
        <f t="shared" si="26"/>
        <v>0</v>
      </c>
      <c r="O72" s="16">
        <f t="shared" si="26"/>
        <v>0</v>
      </c>
      <c r="P72" s="16">
        <f t="shared" si="26"/>
        <v>0</v>
      </c>
      <c r="Q72" s="16">
        <f t="shared" si="26"/>
        <v>0</v>
      </c>
      <c r="R72" s="16">
        <f t="shared" si="26"/>
        <v>0</v>
      </c>
      <c r="S72" s="16">
        <f t="shared" si="26"/>
        <v>0</v>
      </c>
      <c r="T72" s="16">
        <f t="shared" si="26"/>
        <v>0</v>
      </c>
      <c r="U72" s="16">
        <f t="shared" si="7"/>
        <v>0</v>
      </c>
      <c r="V72" s="16">
        <f t="shared" si="8"/>
        <v>0</v>
      </c>
      <c r="W72" s="16">
        <f t="shared" si="8"/>
        <v>0</v>
      </c>
      <c r="Y72" s="51">
        <f t="shared" si="23"/>
        <v>79.28</v>
      </c>
      <c r="AA72" s="44">
        <f t="shared" si="24"/>
        <v>0</v>
      </c>
      <c r="AC72" s="16" t="str">
        <f t="shared" si="25"/>
        <v>A</v>
      </c>
    </row>
    <row r="73" spans="1:29" ht="18" customHeight="1" x14ac:dyDescent="0.3">
      <c r="A73" s="47" t="s">
        <v>72</v>
      </c>
      <c r="B73" s="48" t="str">
        <f>'Detailed Marks'!A52</f>
        <v>210258J</v>
      </c>
      <c r="C73" s="48" t="str">
        <f>'Detailed Marks'!B52</f>
        <v>JAYATHISSA R.M.K.C.</v>
      </c>
      <c r="D73" s="49"/>
      <c r="E73" s="6" t="str">
        <f t="shared" ref="E73:E107" si="27">+IF(AND(C73="",B73=""),"",IF(AA73=0,AC73,AA73))</f>
        <v>A</v>
      </c>
      <c r="F73" s="68">
        <f t="shared" ref="F73:F107" si="28">G73+H73</f>
        <v>79.03</v>
      </c>
      <c r="G73" s="50">
        <f>'Detailed Marks'!L52/'Detailed Marks'!$L$3*'Final Marks'!$G$24</f>
        <v>26.400000000000002</v>
      </c>
      <c r="H73" s="50">
        <f t="shared" ref="H73:H107" si="29">I73*H$24/I$24</f>
        <v>52.63</v>
      </c>
      <c r="I73" s="6">
        <f>'Detailed Marks'!M52</f>
        <v>52.63</v>
      </c>
      <c r="J73" s="6">
        <f t="shared" ref="J73:J107" si="30">IF(I73/$I$24&gt;=75,1,"")</f>
        <v>1</v>
      </c>
      <c r="K73" s="16">
        <f t="shared" ref="K73:T98" si="31">IF($D73="",IF($E73=K$24,1,0),IF($D73=K$24,1,0))</f>
        <v>0</v>
      </c>
      <c r="L73" s="16">
        <f t="shared" si="31"/>
        <v>1</v>
      </c>
      <c r="M73" s="16">
        <f t="shared" si="31"/>
        <v>0</v>
      </c>
      <c r="N73" s="16">
        <f t="shared" si="31"/>
        <v>0</v>
      </c>
      <c r="O73" s="16">
        <f t="shared" si="31"/>
        <v>0</v>
      </c>
      <c r="P73" s="16">
        <f t="shared" si="31"/>
        <v>0</v>
      </c>
      <c r="Q73" s="16">
        <f t="shared" si="31"/>
        <v>0</v>
      </c>
      <c r="R73" s="16">
        <f t="shared" si="31"/>
        <v>0</v>
      </c>
      <c r="S73" s="16">
        <f t="shared" si="31"/>
        <v>0</v>
      </c>
      <c r="T73" s="16">
        <f t="shared" si="31"/>
        <v>0</v>
      </c>
      <c r="U73" s="16">
        <f t="shared" si="7"/>
        <v>0</v>
      </c>
      <c r="V73" s="16">
        <f t="shared" si="8"/>
        <v>0</v>
      </c>
      <c r="W73" s="16">
        <f t="shared" si="8"/>
        <v>0</v>
      </c>
      <c r="Y73" s="51">
        <f t="shared" ref="Y73:Y107" si="32">F73</f>
        <v>79.03</v>
      </c>
      <c r="AA73" s="44">
        <f t="shared" ref="AA73:AA107" si="33">+IF(OR(A73="",A73="N"),0,
IF(A73="U",
IF(OR(AC73="I-we",AC73="I-ca",AC73="F"),"**I",
IF(Y73&gt;=R$23,"C",
IF(Y73&gt;=S$23,"C-","**D"))),
IF(A73="PF",
IF(OR(AC73="I-we",AC73="I-ca",AC73="F"),AC73,
IF(Y73&gt;=R$23,"C",
IF(Y73&gt;=S$23,"C-","**D"))),
IF(A73="PI-ca",IF(AC73="I-we","DATA",IF(AC73="I-ca",AC73,
IF(Y73&gt;=R$23,"C",
IF(Y73&gt;=S$23,"C-",IF(Y73&gt;=T$23,"D","DATA"))))),IF(A73="PI-we",
IF(AC73="I-ca","DATA",IF(AC73="I-we",AC73,IF(Y73&gt;=R$23,"C",
IF(Y73&gt;=S$23,"C-",IF(Y73&gt;=T$23,"D","DATA"))))
)))
)))</f>
        <v>0</v>
      </c>
      <c r="AC73" s="16" t="str">
        <f t="shared" ref="AC73:AC107" si="34">IF(AND(H73&gt;=$D$15*$H$24,G73&gt;=$D$15*$G$24),IF(F73&gt;=$O$23,IF(F73&gt;=$K$23,"A+",IF(F73&gt;=$L$23,"A",IF(F73&gt;=$M$23,"A-",IF(F73&gt;=$N$23,"B+","B")))),IF(F73&lt;$T$23,"I",IF(F73&lt;$S$23,"D",IF(F73&lt;$R$23,"C-",IF(F73&lt;$Q$23,"C",IF(F73&lt;$P$23,"C+",IF(F73&lt;$O$23,"B-","B"))))))),IF(AND(H73&lt;$D$15*$H$24,G73&lt;$D$15*$G$24),"F",IF(H73&lt;$D$15*$H$24,"I-ca","I-we")))</f>
        <v>A</v>
      </c>
    </row>
    <row r="74" spans="1:29" ht="18" customHeight="1" x14ac:dyDescent="0.3">
      <c r="A74" s="47" t="s">
        <v>72</v>
      </c>
      <c r="B74" s="48" t="str">
        <f>'Detailed Marks'!A53</f>
        <v>210269T</v>
      </c>
      <c r="C74" s="48" t="str">
        <f>'Detailed Marks'!B53</f>
        <v>KALUNAYAKA K.A.A.K.L.</v>
      </c>
      <c r="D74" s="49"/>
      <c r="E74" s="6" t="str">
        <f t="shared" si="27"/>
        <v>B</v>
      </c>
      <c r="F74" s="68">
        <f t="shared" si="28"/>
        <v>60.89</v>
      </c>
      <c r="G74" s="50">
        <f>'Detailed Marks'!L53/'Detailed Marks'!$L$3*'Final Marks'!$G$24</f>
        <v>17.600000000000001</v>
      </c>
      <c r="H74" s="50">
        <f t="shared" si="29"/>
        <v>43.29</v>
      </c>
      <c r="I74" s="6">
        <f>'Detailed Marks'!M53</f>
        <v>43.29</v>
      </c>
      <c r="J74" s="6" t="str">
        <f t="shared" si="30"/>
        <v/>
      </c>
      <c r="K74" s="16">
        <f t="shared" si="31"/>
        <v>0</v>
      </c>
      <c r="L74" s="16">
        <f t="shared" si="31"/>
        <v>0</v>
      </c>
      <c r="M74" s="16">
        <f t="shared" si="31"/>
        <v>0</v>
      </c>
      <c r="N74" s="16">
        <f t="shared" si="31"/>
        <v>0</v>
      </c>
      <c r="O74" s="16">
        <f t="shared" si="31"/>
        <v>1</v>
      </c>
      <c r="P74" s="16">
        <f t="shared" si="31"/>
        <v>0</v>
      </c>
      <c r="Q74" s="16">
        <f t="shared" si="31"/>
        <v>0</v>
      </c>
      <c r="R74" s="16">
        <f t="shared" si="31"/>
        <v>0</v>
      </c>
      <c r="S74" s="16">
        <f t="shared" si="31"/>
        <v>0</v>
      </c>
      <c r="T74" s="16">
        <f t="shared" si="31"/>
        <v>0</v>
      </c>
      <c r="U74" s="16">
        <f t="shared" si="7"/>
        <v>0</v>
      </c>
      <c r="V74" s="16">
        <f t="shared" si="8"/>
        <v>0</v>
      </c>
      <c r="W74" s="16">
        <f t="shared" si="8"/>
        <v>0</v>
      </c>
      <c r="Y74" s="51">
        <f t="shared" si="32"/>
        <v>60.89</v>
      </c>
      <c r="AA74" s="44">
        <f t="shared" si="33"/>
        <v>0</v>
      </c>
      <c r="AC74" s="16" t="str">
        <f t="shared" si="34"/>
        <v>B</v>
      </c>
    </row>
    <row r="75" spans="1:29" ht="18" customHeight="1" x14ac:dyDescent="0.3">
      <c r="A75" s="47" t="s">
        <v>72</v>
      </c>
      <c r="B75" s="48" t="str">
        <f>'Detailed Marks'!A54</f>
        <v>210272V</v>
      </c>
      <c r="C75" s="48" t="str">
        <f>'Detailed Marks'!B54</f>
        <v>KARAVITA K.V.D.T.N.</v>
      </c>
      <c r="D75" s="49"/>
      <c r="E75" s="6" t="str">
        <f t="shared" si="27"/>
        <v>A+</v>
      </c>
      <c r="F75" s="68">
        <f t="shared" si="28"/>
        <v>84.5</v>
      </c>
      <c r="G75" s="50">
        <f>'Detailed Marks'!L54/'Detailed Marks'!$L$3*'Final Marks'!$G$24</f>
        <v>30.400000000000002</v>
      </c>
      <c r="H75" s="50">
        <f t="shared" si="29"/>
        <v>54.1</v>
      </c>
      <c r="I75" s="6">
        <f>'Detailed Marks'!M54</f>
        <v>54.1</v>
      </c>
      <c r="J75" s="6">
        <f t="shared" si="30"/>
        <v>1</v>
      </c>
      <c r="K75" s="16">
        <f t="shared" si="31"/>
        <v>1</v>
      </c>
      <c r="L75" s="16">
        <f t="shared" si="31"/>
        <v>0</v>
      </c>
      <c r="M75" s="16">
        <f t="shared" si="31"/>
        <v>0</v>
      </c>
      <c r="N75" s="16">
        <f t="shared" si="31"/>
        <v>0</v>
      </c>
      <c r="O75" s="16">
        <f t="shared" si="31"/>
        <v>0</v>
      </c>
      <c r="P75" s="16">
        <f t="shared" si="31"/>
        <v>0</v>
      </c>
      <c r="Q75" s="16">
        <f t="shared" si="31"/>
        <v>0</v>
      </c>
      <c r="R75" s="16">
        <f t="shared" si="31"/>
        <v>0</v>
      </c>
      <c r="S75" s="16">
        <f t="shared" si="31"/>
        <v>0</v>
      </c>
      <c r="T75" s="16">
        <f t="shared" si="31"/>
        <v>0</v>
      </c>
      <c r="U75" s="16">
        <f t="shared" si="7"/>
        <v>0</v>
      </c>
      <c r="V75" s="16">
        <f t="shared" si="8"/>
        <v>0</v>
      </c>
      <c r="W75" s="16">
        <f t="shared" si="8"/>
        <v>0</v>
      </c>
      <c r="Y75" s="51">
        <f t="shared" si="32"/>
        <v>84.5</v>
      </c>
      <c r="AA75" s="44">
        <f t="shared" si="33"/>
        <v>0</v>
      </c>
      <c r="AC75" s="16" t="str">
        <f t="shared" si="34"/>
        <v>A+</v>
      </c>
    </row>
    <row r="76" spans="1:29" ht="18" customHeight="1" x14ac:dyDescent="0.3">
      <c r="A76" s="47" t="s">
        <v>72</v>
      </c>
      <c r="B76" s="48" t="str">
        <f>'Detailed Marks'!A55</f>
        <v>210286R</v>
      </c>
      <c r="C76" s="48" t="str">
        <f>'Detailed Marks'!B55</f>
        <v>KELAART D.J.</v>
      </c>
      <c r="D76" s="49"/>
      <c r="E76" s="6" t="str">
        <f t="shared" si="27"/>
        <v>C-</v>
      </c>
      <c r="F76" s="68">
        <f t="shared" si="28"/>
        <v>43.17</v>
      </c>
      <c r="G76" s="50">
        <f>'Detailed Marks'!L55/'Detailed Marks'!$L$3*'Final Marks'!$G$24</f>
        <v>14</v>
      </c>
      <c r="H76" s="50">
        <f t="shared" si="29"/>
        <v>29.169999999999998</v>
      </c>
      <c r="I76" s="6">
        <f>'Detailed Marks'!M55</f>
        <v>29.17</v>
      </c>
      <c r="J76" s="6" t="str">
        <f t="shared" si="30"/>
        <v/>
      </c>
      <c r="K76" s="16">
        <f t="shared" si="31"/>
        <v>0</v>
      </c>
      <c r="L76" s="16">
        <f t="shared" si="31"/>
        <v>0</v>
      </c>
      <c r="M76" s="16">
        <f t="shared" si="31"/>
        <v>0</v>
      </c>
      <c r="N76" s="16">
        <f t="shared" si="31"/>
        <v>0</v>
      </c>
      <c r="O76" s="16">
        <f t="shared" si="31"/>
        <v>0</v>
      </c>
      <c r="P76" s="16">
        <f t="shared" si="31"/>
        <v>0</v>
      </c>
      <c r="Q76" s="16">
        <f t="shared" si="31"/>
        <v>0</v>
      </c>
      <c r="R76" s="16">
        <f t="shared" si="31"/>
        <v>0</v>
      </c>
      <c r="S76" s="16">
        <f t="shared" si="31"/>
        <v>1</v>
      </c>
      <c r="T76" s="16">
        <f t="shared" si="31"/>
        <v>0</v>
      </c>
      <c r="U76" s="16">
        <f t="shared" si="7"/>
        <v>0</v>
      </c>
      <c r="V76" s="16">
        <f t="shared" si="8"/>
        <v>0</v>
      </c>
      <c r="W76" s="16">
        <f t="shared" si="8"/>
        <v>0</v>
      </c>
      <c r="Y76" s="51">
        <f t="shared" si="32"/>
        <v>43.17</v>
      </c>
      <c r="AA76" s="44">
        <f t="shared" si="33"/>
        <v>0</v>
      </c>
      <c r="AC76" s="16" t="str">
        <f t="shared" si="34"/>
        <v>C-</v>
      </c>
    </row>
    <row r="77" spans="1:29" ht="18" customHeight="1" x14ac:dyDescent="0.3">
      <c r="A77" s="47" t="s">
        <v>72</v>
      </c>
      <c r="B77" s="48" t="str">
        <f>'Detailed Marks'!A56</f>
        <v>210292G</v>
      </c>
      <c r="C77" s="48" t="str">
        <f>'Detailed Marks'!B56</f>
        <v>KIRUSHANTH G.</v>
      </c>
      <c r="D77" s="49"/>
      <c r="E77" s="6" t="str">
        <f t="shared" si="27"/>
        <v>A-</v>
      </c>
      <c r="F77" s="68">
        <f t="shared" si="28"/>
        <v>69.95</v>
      </c>
      <c r="G77" s="50">
        <f>'Detailed Marks'!L56/'Detailed Marks'!$L$3*'Final Marks'!$G$24</f>
        <v>24.200000000000003</v>
      </c>
      <c r="H77" s="50">
        <f t="shared" si="29"/>
        <v>45.75</v>
      </c>
      <c r="I77" s="6">
        <f>'Detailed Marks'!M56</f>
        <v>45.75</v>
      </c>
      <c r="J77" s="6">
        <f t="shared" si="30"/>
        <v>1</v>
      </c>
      <c r="K77" s="16">
        <f t="shared" si="31"/>
        <v>0</v>
      </c>
      <c r="L77" s="16">
        <f t="shared" si="31"/>
        <v>0</v>
      </c>
      <c r="M77" s="16">
        <f t="shared" si="31"/>
        <v>1</v>
      </c>
      <c r="N77" s="16">
        <f t="shared" si="31"/>
        <v>0</v>
      </c>
      <c r="O77" s="16">
        <f t="shared" si="31"/>
        <v>0</v>
      </c>
      <c r="P77" s="16">
        <f t="shared" si="31"/>
        <v>0</v>
      </c>
      <c r="Q77" s="16">
        <f t="shared" si="31"/>
        <v>0</v>
      </c>
      <c r="R77" s="16">
        <f t="shared" si="31"/>
        <v>0</v>
      </c>
      <c r="S77" s="16">
        <f t="shared" si="31"/>
        <v>0</v>
      </c>
      <c r="T77" s="16">
        <f t="shared" si="31"/>
        <v>0</v>
      </c>
      <c r="U77" s="16">
        <f t="shared" si="7"/>
        <v>0</v>
      </c>
      <c r="V77" s="16">
        <f t="shared" si="8"/>
        <v>0</v>
      </c>
      <c r="W77" s="16">
        <f t="shared" si="8"/>
        <v>0</v>
      </c>
      <c r="Y77" s="51">
        <f t="shared" si="32"/>
        <v>69.95</v>
      </c>
      <c r="AA77" s="44">
        <f t="shared" si="33"/>
        <v>0</v>
      </c>
      <c r="AC77" s="16" t="str">
        <f t="shared" si="34"/>
        <v>A-</v>
      </c>
    </row>
    <row r="78" spans="1:29" ht="18" customHeight="1" x14ac:dyDescent="0.3">
      <c r="A78" s="47" t="s">
        <v>72</v>
      </c>
      <c r="B78" s="48" t="str">
        <f>'Detailed Marks'!A57</f>
        <v>210293K</v>
      </c>
      <c r="C78" s="48" t="str">
        <f>'Detailed Marks'!B57</f>
        <v>KODIKARA U.S.S.</v>
      </c>
      <c r="D78" s="49"/>
      <c r="E78" s="6" t="str">
        <f t="shared" si="27"/>
        <v>A+</v>
      </c>
      <c r="F78" s="68">
        <f t="shared" si="28"/>
        <v>84.53</v>
      </c>
      <c r="G78" s="50">
        <f>'Detailed Marks'!L57/'Detailed Marks'!$L$3*'Final Marks'!$G$24</f>
        <v>30.32</v>
      </c>
      <c r="H78" s="50">
        <f t="shared" si="29"/>
        <v>54.209999999999994</v>
      </c>
      <c r="I78" s="6">
        <f>'Detailed Marks'!M57</f>
        <v>54.21</v>
      </c>
      <c r="J78" s="6">
        <f t="shared" si="30"/>
        <v>1</v>
      </c>
      <c r="K78" s="16">
        <f t="shared" si="31"/>
        <v>1</v>
      </c>
      <c r="L78" s="16">
        <f t="shared" si="31"/>
        <v>0</v>
      </c>
      <c r="M78" s="16">
        <f t="shared" si="31"/>
        <v>0</v>
      </c>
      <c r="N78" s="16">
        <f t="shared" si="31"/>
        <v>0</v>
      </c>
      <c r="O78" s="16">
        <f t="shared" si="31"/>
        <v>0</v>
      </c>
      <c r="P78" s="16">
        <f t="shared" si="31"/>
        <v>0</v>
      </c>
      <c r="Q78" s="16">
        <f t="shared" si="31"/>
        <v>0</v>
      </c>
      <c r="R78" s="16">
        <f t="shared" si="31"/>
        <v>0</v>
      </c>
      <c r="S78" s="16">
        <f t="shared" si="31"/>
        <v>0</v>
      </c>
      <c r="T78" s="16">
        <f t="shared" si="31"/>
        <v>0</v>
      </c>
      <c r="U78" s="16">
        <f t="shared" si="7"/>
        <v>0</v>
      </c>
      <c r="V78" s="16">
        <f t="shared" si="8"/>
        <v>0</v>
      </c>
      <c r="W78" s="16">
        <f t="shared" si="8"/>
        <v>0</v>
      </c>
      <c r="Y78" s="51">
        <f t="shared" si="32"/>
        <v>84.53</v>
      </c>
      <c r="AA78" s="44">
        <f t="shared" si="33"/>
        <v>0</v>
      </c>
      <c r="AC78" s="16" t="str">
        <f t="shared" si="34"/>
        <v>A+</v>
      </c>
    </row>
    <row r="79" spans="1:29" ht="18" customHeight="1" x14ac:dyDescent="0.3">
      <c r="A79" s="47" t="s">
        <v>72</v>
      </c>
      <c r="B79" s="48" t="str">
        <f>'Detailed Marks'!A58</f>
        <v>210294N</v>
      </c>
      <c r="C79" s="48" t="str">
        <f>'Detailed Marks'!B58</f>
        <v>KODITHUWAKKU J.N.</v>
      </c>
      <c r="D79" s="49"/>
      <c r="E79" s="6" t="str">
        <f t="shared" si="27"/>
        <v>A</v>
      </c>
      <c r="F79" s="68">
        <f t="shared" si="28"/>
        <v>77.570000000000007</v>
      </c>
      <c r="G79" s="50">
        <f>'Detailed Marks'!L58/'Detailed Marks'!$L$3*'Final Marks'!$G$24</f>
        <v>27.400000000000002</v>
      </c>
      <c r="H79" s="50">
        <f t="shared" si="29"/>
        <v>50.17</v>
      </c>
      <c r="I79" s="6">
        <f>'Detailed Marks'!M58</f>
        <v>50.17</v>
      </c>
      <c r="J79" s="6">
        <f t="shared" si="30"/>
        <v>1</v>
      </c>
      <c r="K79" s="16">
        <f t="shared" si="31"/>
        <v>0</v>
      </c>
      <c r="L79" s="16">
        <f t="shared" si="31"/>
        <v>1</v>
      </c>
      <c r="M79" s="16">
        <f t="shared" si="31"/>
        <v>0</v>
      </c>
      <c r="N79" s="16">
        <f t="shared" si="31"/>
        <v>0</v>
      </c>
      <c r="O79" s="16">
        <f t="shared" si="31"/>
        <v>0</v>
      </c>
      <c r="P79" s="16">
        <f t="shared" si="31"/>
        <v>0</v>
      </c>
      <c r="Q79" s="16">
        <f t="shared" si="31"/>
        <v>0</v>
      </c>
      <c r="R79" s="16">
        <f t="shared" si="31"/>
        <v>0</v>
      </c>
      <c r="S79" s="16">
        <f t="shared" si="31"/>
        <v>0</v>
      </c>
      <c r="T79" s="16">
        <f t="shared" si="31"/>
        <v>0</v>
      </c>
      <c r="U79" s="16">
        <f t="shared" si="7"/>
        <v>0</v>
      </c>
      <c r="V79" s="16">
        <f t="shared" si="8"/>
        <v>0</v>
      </c>
      <c r="W79" s="16">
        <f t="shared" si="8"/>
        <v>0</v>
      </c>
      <c r="Y79" s="51">
        <f t="shared" si="32"/>
        <v>77.570000000000007</v>
      </c>
      <c r="AA79" s="44">
        <f t="shared" si="33"/>
        <v>0</v>
      </c>
      <c r="AC79" s="16" t="str">
        <f t="shared" si="34"/>
        <v>A</v>
      </c>
    </row>
    <row r="80" spans="1:29" ht="18" customHeight="1" x14ac:dyDescent="0.3">
      <c r="A80" s="47" t="s">
        <v>72</v>
      </c>
      <c r="B80" s="48" t="str">
        <f>'Detailed Marks'!A59</f>
        <v>210303U</v>
      </c>
      <c r="C80" s="48" t="str">
        <f>'Detailed Marks'!B59</f>
        <v>KULASINGHAM P.N.</v>
      </c>
      <c r="D80" s="49"/>
      <c r="E80" s="6" t="str">
        <f t="shared" si="27"/>
        <v>A-</v>
      </c>
      <c r="F80" s="68">
        <f t="shared" si="28"/>
        <v>73.490000000000009</v>
      </c>
      <c r="G80" s="50">
        <f>'Detailed Marks'!L59/'Detailed Marks'!$L$3*'Final Marks'!$G$24</f>
        <v>21.200000000000003</v>
      </c>
      <c r="H80" s="50">
        <f t="shared" si="29"/>
        <v>52.29</v>
      </c>
      <c r="I80" s="6">
        <f>'Detailed Marks'!M59</f>
        <v>52.29</v>
      </c>
      <c r="J80" s="6">
        <f t="shared" si="30"/>
        <v>1</v>
      </c>
      <c r="K80" s="16">
        <f t="shared" si="31"/>
        <v>0</v>
      </c>
      <c r="L80" s="16">
        <f t="shared" si="31"/>
        <v>0</v>
      </c>
      <c r="M80" s="16">
        <f t="shared" si="31"/>
        <v>1</v>
      </c>
      <c r="N80" s="16">
        <f t="shared" si="31"/>
        <v>0</v>
      </c>
      <c r="O80" s="16">
        <f t="shared" si="31"/>
        <v>0</v>
      </c>
      <c r="P80" s="16">
        <f t="shared" si="31"/>
        <v>0</v>
      </c>
      <c r="Q80" s="16">
        <f t="shared" si="31"/>
        <v>0</v>
      </c>
      <c r="R80" s="16">
        <f t="shared" si="31"/>
        <v>0</v>
      </c>
      <c r="S80" s="16">
        <f t="shared" si="31"/>
        <v>0</v>
      </c>
      <c r="T80" s="16">
        <f t="shared" si="31"/>
        <v>0</v>
      </c>
      <c r="U80" s="16">
        <f t="shared" si="7"/>
        <v>0</v>
      </c>
      <c r="V80" s="16">
        <f t="shared" si="8"/>
        <v>0</v>
      </c>
      <c r="W80" s="16">
        <f t="shared" si="8"/>
        <v>0</v>
      </c>
      <c r="Y80" s="51">
        <f t="shared" si="32"/>
        <v>73.490000000000009</v>
      </c>
      <c r="AA80" s="44">
        <f t="shared" si="33"/>
        <v>0</v>
      </c>
      <c r="AC80" s="16" t="str">
        <f t="shared" si="34"/>
        <v>A-</v>
      </c>
    </row>
    <row r="81" spans="1:29" ht="18" customHeight="1" x14ac:dyDescent="0.3">
      <c r="A81" s="47" t="s">
        <v>72</v>
      </c>
      <c r="B81" s="48" t="str">
        <f>'Detailed Marks'!A60</f>
        <v>210311R</v>
      </c>
      <c r="C81" s="48" t="str">
        <f>'Detailed Marks'!B60</f>
        <v>KUMARA R.P.D.R.</v>
      </c>
      <c r="D81" s="49"/>
      <c r="E81" s="6" t="str">
        <f t="shared" si="27"/>
        <v>B-</v>
      </c>
      <c r="F81" s="68">
        <f t="shared" si="28"/>
        <v>56.680000000000007</v>
      </c>
      <c r="G81" s="50">
        <f>'Detailed Marks'!L60/'Detailed Marks'!$L$3*'Final Marks'!$G$24</f>
        <v>17.8</v>
      </c>
      <c r="H81" s="50">
        <f t="shared" si="29"/>
        <v>38.880000000000003</v>
      </c>
      <c r="I81" s="6">
        <f>'Detailed Marks'!M60</f>
        <v>38.880000000000003</v>
      </c>
      <c r="J81" s="6" t="str">
        <f t="shared" si="30"/>
        <v/>
      </c>
      <c r="K81" s="16">
        <f t="shared" si="31"/>
        <v>0</v>
      </c>
      <c r="L81" s="16">
        <f t="shared" si="31"/>
        <v>0</v>
      </c>
      <c r="M81" s="16">
        <f t="shared" si="31"/>
        <v>0</v>
      </c>
      <c r="N81" s="16">
        <f t="shared" si="31"/>
        <v>0</v>
      </c>
      <c r="O81" s="16">
        <f t="shared" si="31"/>
        <v>0</v>
      </c>
      <c r="P81" s="16">
        <f t="shared" si="31"/>
        <v>1</v>
      </c>
      <c r="Q81" s="16">
        <f t="shared" si="31"/>
        <v>0</v>
      </c>
      <c r="R81" s="16">
        <f t="shared" si="31"/>
        <v>0</v>
      </c>
      <c r="S81" s="16">
        <f t="shared" si="31"/>
        <v>0</v>
      </c>
      <c r="T81" s="16">
        <f t="shared" si="31"/>
        <v>0</v>
      </c>
      <c r="U81" s="16">
        <f t="shared" si="7"/>
        <v>0</v>
      </c>
      <c r="V81" s="16">
        <f t="shared" si="8"/>
        <v>0</v>
      </c>
      <c r="W81" s="16">
        <f t="shared" si="8"/>
        <v>0</v>
      </c>
      <c r="Y81" s="51">
        <f t="shared" si="32"/>
        <v>56.680000000000007</v>
      </c>
      <c r="AA81" s="44">
        <f t="shared" si="33"/>
        <v>0</v>
      </c>
      <c r="AC81" s="16" t="str">
        <f t="shared" si="34"/>
        <v>B-</v>
      </c>
    </row>
    <row r="82" spans="1:29" ht="18" customHeight="1" x14ac:dyDescent="0.3">
      <c r="A82" s="47" t="s">
        <v>72</v>
      </c>
      <c r="B82" s="48" t="str">
        <f>'Detailed Marks'!A61</f>
        <v>210325M</v>
      </c>
      <c r="C82" s="48" t="str">
        <f>'Detailed Marks'!B61</f>
        <v>KURUPPU M.P</v>
      </c>
      <c r="D82" s="49"/>
      <c r="E82" s="6" t="str">
        <f t="shared" si="27"/>
        <v>A</v>
      </c>
      <c r="F82" s="68">
        <f t="shared" si="28"/>
        <v>77.400000000000006</v>
      </c>
      <c r="G82" s="50">
        <f>'Detailed Marks'!L61/'Detailed Marks'!$L$3*'Final Marks'!$G$24</f>
        <v>24.400000000000002</v>
      </c>
      <c r="H82" s="50">
        <f t="shared" si="29"/>
        <v>53</v>
      </c>
      <c r="I82" s="6">
        <f>'Detailed Marks'!M61</f>
        <v>53</v>
      </c>
      <c r="J82" s="6">
        <f t="shared" si="30"/>
        <v>1</v>
      </c>
      <c r="K82" s="16">
        <f t="shared" si="31"/>
        <v>0</v>
      </c>
      <c r="L82" s="16">
        <f t="shared" si="31"/>
        <v>1</v>
      </c>
      <c r="M82" s="16">
        <f t="shared" si="31"/>
        <v>0</v>
      </c>
      <c r="N82" s="16">
        <f t="shared" si="31"/>
        <v>0</v>
      </c>
      <c r="O82" s="16">
        <f t="shared" si="31"/>
        <v>0</v>
      </c>
      <c r="P82" s="16">
        <f t="shared" si="31"/>
        <v>0</v>
      </c>
      <c r="Q82" s="16">
        <f t="shared" si="31"/>
        <v>0</v>
      </c>
      <c r="R82" s="16">
        <f t="shared" si="31"/>
        <v>0</v>
      </c>
      <c r="S82" s="16">
        <f t="shared" si="31"/>
        <v>0</v>
      </c>
      <c r="T82" s="16">
        <f t="shared" si="31"/>
        <v>0</v>
      </c>
      <c r="U82" s="16">
        <f t="shared" si="7"/>
        <v>0</v>
      </c>
      <c r="V82" s="16">
        <f t="shared" si="8"/>
        <v>0</v>
      </c>
      <c r="W82" s="16">
        <f t="shared" si="8"/>
        <v>0</v>
      </c>
      <c r="Y82" s="51">
        <f t="shared" si="32"/>
        <v>77.400000000000006</v>
      </c>
      <c r="AA82" s="44">
        <f t="shared" si="33"/>
        <v>0</v>
      </c>
      <c r="AC82" s="16" t="str">
        <f t="shared" si="34"/>
        <v>A</v>
      </c>
    </row>
    <row r="83" spans="1:29" ht="18" customHeight="1" x14ac:dyDescent="0.3">
      <c r="A83" s="47" t="s">
        <v>72</v>
      </c>
      <c r="B83" s="48" t="str">
        <f>'Detailed Marks'!A62</f>
        <v>210341H</v>
      </c>
      <c r="C83" s="48" t="str">
        <f>'Detailed Marks'!B62</f>
        <v>LIYANAARACHCHI L.A.S.</v>
      </c>
      <c r="D83" s="49"/>
      <c r="E83" s="6" t="str">
        <f t="shared" si="27"/>
        <v>A-</v>
      </c>
      <c r="F83" s="68">
        <f t="shared" si="28"/>
        <v>73.53</v>
      </c>
      <c r="G83" s="50">
        <f>'Detailed Marks'!L62/'Detailed Marks'!$L$3*'Final Marks'!$G$24</f>
        <v>21.400000000000002</v>
      </c>
      <c r="H83" s="50">
        <f t="shared" si="29"/>
        <v>52.13</v>
      </c>
      <c r="I83" s="6">
        <f>'Detailed Marks'!M62</f>
        <v>52.13</v>
      </c>
      <c r="J83" s="6">
        <f t="shared" si="30"/>
        <v>1</v>
      </c>
      <c r="K83" s="16">
        <f t="shared" si="31"/>
        <v>0</v>
      </c>
      <c r="L83" s="16">
        <f t="shared" si="31"/>
        <v>0</v>
      </c>
      <c r="M83" s="16">
        <f t="shared" si="31"/>
        <v>1</v>
      </c>
      <c r="N83" s="16">
        <f t="shared" si="31"/>
        <v>0</v>
      </c>
      <c r="O83" s="16">
        <f t="shared" si="31"/>
        <v>0</v>
      </c>
      <c r="P83" s="16">
        <f t="shared" si="31"/>
        <v>0</v>
      </c>
      <c r="Q83" s="16">
        <f t="shared" si="31"/>
        <v>0</v>
      </c>
      <c r="R83" s="16">
        <f t="shared" si="31"/>
        <v>0</v>
      </c>
      <c r="S83" s="16">
        <f t="shared" si="31"/>
        <v>0</v>
      </c>
      <c r="T83" s="16">
        <f t="shared" si="31"/>
        <v>0</v>
      </c>
      <c r="U83" s="16">
        <f t="shared" si="7"/>
        <v>0</v>
      </c>
      <c r="V83" s="16">
        <f t="shared" si="8"/>
        <v>0</v>
      </c>
      <c r="W83" s="16">
        <f t="shared" si="8"/>
        <v>0</v>
      </c>
      <c r="Y83" s="51">
        <f t="shared" si="32"/>
        <v>73.53</v>
      </c>
      <c r="AA83" s="44">
        <f t="shared" si="33"/>
        <v>0</v>
      </c>
      <c r="AC83" s="16" t="str">
        <f t="shared" si="34"/>
        <v>A-</v>
      </c>
    </row>
    <row r="84" spans="1:29" ht="18" customHeight="1" x14ac:dyDescent="0.3">
      <c r="A84" s="47" t="s">
        <v>72</v>
      </c>
      <c r="B84" s="48" t="str">
        <f>'Detailed Marks'!A63</f>
        <v>210344U</v>
      </c>
      <c r="C84" s="48" t="str">
        <f>'Detailed Marks'!B63</f>
        <v>LIYANAGE P.L.D.S.K.</v>
      </c>
      <c r="D84" s="49"/>
      <c r="E84" s="6" t="str">
        <f t="shared" si="27"/>
        <v>A-</v>
      </c>
      <c r="F84" s="68">
        <f t="shared" si="28"/>
        <v>73</v>
      </c>
      <c r="G84" s="50">
        <f>'Detailed Marks'!L63/'Detailed Marks'!$L$3*'Final Marks'!$G$24</f>
        <v>25</v>
      </c>
      <c r="H84" s="50">
        <f t="shared" si="29"/>
        <v>48</v>
      </c>
      <c r="I84" s="6">
        <f>'Detailed Marks'!M63</f>
        <v>48</v>
      </c>
      <c r="J84" s="6">
        <f t="shared" si="30"/>
        <v>1</v>
      </c>
      <c r="K84" s="16">
        <f t="shared" si="31"/>
        <v>0</v>
      </c>
      <c r="L84" s="16">
        <f t="shared" si="31"/>
        <v>0</v>
      </c>
      <c r="M84" s="16">
        <f t="shared" si="31"/>
        <v>1</v>
      </c>
      <c r="N84" s="16">
        <f t="shared" si="31"/>
        <v>0</v>
      </c>
      <c r="O84" s="16">
        <f t="shared" si="31"/>
        <v>0</v>
      </c>
      <c r="P84" s="16">
        <f t="shared" si="31"/>
        <v>0</v>
      </c>
      <c r="Q84" s="16">
        <f t="shared" si="31"/>
        <v>0</v>
      </c>
      <c r="R84" s="16">
        <f t="shared" si="31"/>
        <v>0</v>
      </c>
      <c r="S84" s="16">
        <f t="shared" si="31"/>
        <v>0</v>
      </c>
      <c r="T84" s="16">
        <f t="shared" si="31"/>
        <v>0</v>
      </c>
      <c r="U84" s="16">
        <f t="shared" si="7"/>
        <v>0</v>
      </c>
      <c r="V84" s="16">
        <f t="shared" si="8"/>
        <v>0</v>
      </c>
      <c r="W84" s="16">
        <f t="shared" si="8"/>
        <v>0</v>
      </c>
      <c r="Y84" s="51">
        <f t="shared" si="32"/>
        <v>73</v>
      </c>
      <c r="AA84" s="44">
        <f t="shared" si="33"/>
        <v>0</v>
      </c>
      <c r="AC84" s="16" t="str">
        <f t="shared" si="34"/>
        <v>A-</v>
      </c>
    </row>
    <row r="85" spans="1:29" ht="18" customHeight="1" x14ac:dyDescent="0.3">
      <c r="A85" s="47" t="s">
        <v>72</v>
      </c>
      <c r="B85" s="48" t="str">
        <f>'Detailed Marks'!A64</f>
        <v>210346D</v>
      </c>
      <c r="C85" s="48" t="str">
        <f>'Detailed Marks'!B64</f>
        <v>LOKUDADALLA L.D.S.D.</v>
      </c>
      <c r="D85" s="49"/>
      <c r="E85" s="6" t="str">
        <f t="shared" si="27"/>
        <v>A</v>
      </c>
      <c r="F85" s="68">
        <f t="shared" si="28"/>
        <v>77.080000000000013</v>
      </c>
      <c r="G85" s="50">
        <f>'Detailed Marks'!L64/'Detailed Marks'!$L$3*'Final Marks'!$G$24</f>
        <v>23.200000000000003</v>
      </c>
      <c r="H85" s="50">
        <f t="shared" si="29"/>
        <v>53.88000000000001</v>
      </c>
      <c r="I85" s="6">
        <f>'Detailed Marks'!M64</f>
        <v>53.88</v>
      </c>
      <c r="J85" s="6">
        <f t="shared" si="30"/>
        <v>1</v>
      </c>
      <c r="K85" s="16">
        <f t="shared" si="31"/>
        <v>0</v>
      </c>
      <c r="L85" s="16">
        <f t="shared" si="31"/>
        <v>1</v>
      </c>
      <c r="M85" s="16">
        <f t="shared" si="31"/>
        <v>0</v>
      </c>
      <c r="N85" s="16">
        <f t="shared" si="31"/>
        <v>0</v>
      </c>
      <c r="O85" s="16">
        <f t="shared" si="31"/>
        <v>0</v>
      </c>
      <c r="P85" s="16">
        <f t="shared" si="31"/>
        <v>0</v>
      </c>
      <c r="Q85" s="16">
        <f t="shared" si="31"/>
        <v>0</v>
      </c>
      <c r="R85" s="16">
        <f t="shared" si="31"/>
        <v>0</v>
      </c>
      <c r="S85" s="16">
        <f t="shared" si="31"/>
        <v>0</v>
      </c>
      <c r="T85" s="16">
        <f t="shared" si="31"/>
        <v>0</v>
      </c>
      <c r="U85" s="16">
        <f t="shared" si="7"/>
        <v>0</v>
      </c>
      <c r="V85" s="16">
        <f t="shared" si="8"/>
        <v>0</v>
      </c>
      <c r="W85" s="16">
        <f t="shared" si="8"/>
        <v>0</v>
      </c>
      <c r="Y85" s="51">
        <f t="shared" si="32"/>
        <v>77.080000000000013</v>
      </c>
      <c r="AA85" s="44">
        <f t="shared" si="33"/>
        <v>0</v>
      </c>
      <c r="AC85" s="16" t="str">
        <f t="shared" si="34"/>
        <v>A</v>
      </c>
    </row>
    <row r="86" spans="1:29" ht="18" customHeight="1" x14ac:dyDescent="0.3">
      <c r="A86" s="47" t="s">
        <v>72</v>
      </c>
      <c r="B86" s="48" t="str">
        <f>'Detailed Marks'!A65</f>
        <v>210349N</v>
      </c>
      <c r="C86" s="48" t="str">
        <f>'Detailed Marks'!B65</f>
        <v>MADHUSHAN I.D.</v>
      </c>
      <c r="D86" s="49"/>
      <c r="E86" s="6" t="str">
        <f t="shared" si="27"/>
        <v>A-</v>
      </c>
      <c r="F86" s="68">
        <f t="shared" si="28"/>
        <v>70.09</v>
      </c>
      <c r="G86" s="50">
        <f>'Detailed Marks'!L65/'Detailed Marks'!$L$3*'Final Marks'!$G$24</f>
        <v>21.8</v>
      </c>
      <c r="H86" s="50">
        <f t="shared" si="29"/>
        <v>48.29</v>
      </c>
      <c r="I86" s="6">
        <f>'Detailed Marks'!M65</f>
        <v>48.29</v>
      </c>
      <c r="J86" s="6">
        <f t="shared" si="30"/>
        <v>1</v>
      </c>
      <c r="K86" s="16">
        <f t="shared" si="31"/>
        <v>0</v>
      </c>
      <c r="L86" s="16">
        <f t="shared" si="31"/>
        <v>0</v>
      </c>
      <c r="M86" s="16">
        <f t="shared" si="31"/>
        <v>1</v>
      </c>
      <c r="N86" s="16">
        <f t="shared" si="31"/>
        <v>0</v>
      </c>
      <c r="O86" s="16">
        <f t="shared" si="31"/>
        <v>0</v>
      </c>
      <c r="P86" s="16">
        <f t="shared" si="31"/>
        <v>0</v>
      </c>
      <c r="Q86" s="16">
        <f t="shared" si="31"/>
        <v>0</v>
      </c>
      <c r="R86" s="16">
        <f t="shared" si="31"/>
        <v>0</v>
      </c>
      <c r="S86" s="16">
        <f t="shared" si="31"/>
        <v>0</v>
      </c>
      <c r="T86" s="16">
        <f t="shared" si="31"/>
        <v>0</v>
      </c>
      <c r="U86" s="16">
        <f t="shared" si="7"/>
        <v>0</v>
      </c>
      <c r="V86" s="16">
        <f t="shared" si="8"/>
        <v>0</v>
      </c>
      <c r="W86" s="16">
        <f t="shared" si="8"/>
        <v>0</v>
      </c>
      <c r="Y86" s="51">
        <f t="shared" si="32"/>
        <v>70.09</v>
      </c>
      <c r="AA86" s="44">
        <f t="shared" si="33"/>
        <v>0</v>
      </c>
      <c r="AC86" s="16" t="str">
        <f t="shared" si="34"/>
        <v>A-</v>
      </c>
    </row>
    <row r="87" spans="1:29" ht="18" customHeight="1" x14ac:dyDescent="0.3">
      <c r="A87" s="47" t="s">
        <v>72</v>
      </c>
      <c r="B87" s="48" t="str">
        <f>'Detailed Marks'!A66</f>
        <v>210378C</v>
      </c>
      <c r="C87" s="48" t="str">
        <f>'Detailed Marks'!B66</f>
        <v>MAPALAGAMA O.N.</v>
      </c>
      <c r="D87" s="49"/>
      <c r="E87" s="6" t="str">
        <f t="shared" si="27"/>
        <v>B</v>
      </c>
      <c r="F87" s="68">
        <f t="shared" si="28"/>
        <v>63.849999999999994</v>
      </c>
      <c r="G87" s="50">
        <f>'Detailed Marks'!L66/'Detailed Marks'!$L$3*'Final Marks'!$G$24</f>
        <v>17.8</v>
      </c>
      <c r="H87" s="50">
        <f t="shared" si="29"/>
        <v>46.05</v>
      </c>
      <c r="I87" s="6">
        <f>'Detailed Marks'!M66</f>
        <v>46.05</v>
      </c>
      <c r="J87" s="6">
        <f t="shared" si="30"/>
        <v>1</v>
      </c>
      <c r="K87" s="16">
        <f t="shared" si="31"/>
        <v>0</v>
      </c>
      <c r="L87" s="16">
        <f t="shared" si="31"/>
        <v>0</v>
      </c>
      <c r="M87" s="16">
        <f t="shared" si="31"/>
        <v>0</v>
      </c>
      <c r="N87" s="16">
        <f t="shared" si="31"/>
        <v>0</v>
      </c>
      <c r="O87" s="16">
        <f t="shared" si="31"/>
        <v>1</v>
      </c>
      <c r="P87" s="16">
        <f t="shared" si="31"/>
        <v>0</v>
      </c>
      <c r="Q87" s="16">
        <f t="shared" si="31"/>
        <v>0</v>
      </c>
      <c r="R87" s="16">
        <f t="shared" si="31"/>
        <v>0</v>
      </c>
      <c r="S87" s="16">
        <f t="shared" si="31"/>
        <v>0</v>
      </c>
      <c r="T87" s="16">
        <f t="shared" si="31"/>
        <v>0</v>
      </c>
      <c r="U87" s="16">
        <f t="shared" si="7"/>
        <v>0</v>
      </c>
      <c r="V87" s="16">
        <f t="shared" si="8"/>
        <v>0</v>
      </c>
      <c r="W87" s="16">
        <f t="shared" si="8"/>
        <v>0</v>
      </c>
      <c r="Y87" s="51">
        <f t="shared" si="32"/>
        <v>63.849999999999994</v>
      </c>
      <c r="AA87" s="44">
        <f t="shared" si="33"/>
        <v>0</v>
      </c>
      <c r="AC87" s="16" t="str">
        <f t="shared" si="34"/>
        <v>B</v>
      </c>
    </row>
    <row r="88" spans="1:29" ht="18" customHeight="1" x14ac:dyDescent="0.3">
      <c r="A88" s="47" t="s">
        <v>72</v>
      </c>
      <c r="B88" s="48" t="str">
        <f>'Detailed Marks'!A67</f>
        <v>210391J</v>
      </c>
      <c r="C88" s="48" t="str">
        <f>'Detailed Marks'!B67</f>
        <v>MORAWAKGODA M.K.I.G.</v>
      </c>
      <c r="D88" s="49"/>
      <c r="E88" s="6" t="str">
        <f t="shared" si="27"/>
        <v>A</v>
      </c>
      <c r="F88" s="68">
        <f t="shared" si="28"/>
        <v>77.05</v>
      </c>
      <c r="G88" s="50">
        <f>'Detailed Marks'!L67/'Detailed Marks'!$L$3*'Final Marks'!$G$24</f>
        <v>24.8</v>
      </c>
      <c r="H88" s="50">
        <f t="shared" si="29"/>
        <v>52.25</v>
      </c>
      <c r="I88" s="6">
        <f>'Detailed Marks'!M67</f>
        <v>52.25</v>
      </c>
      <c r="J88" s="6">
        <f t="shared" si="30"/>
        <v>1</v>
      </c>
      <c r="K88" s="16">
        <f t="shared" si="31"/>
        <v>0</v>
      </c>
      <c r="L88" s="16">
        <f t="shared" si="31"/>
        <v>1</v>
      </c>
      <c r="M88" s="16">
        <f t="shared" si="31"/>
        <v>0</v>
      </c>
      <c r="N88" s="16">
        <f t="shared" si="31"/>
        <v>0</v>
      </c>
      <c r="O88" s="16">
        <f t="shared" si="31"/>
        <v>0</v>
      </c>
      <c r="P88" s="16">
        <f t="shared" si="31"/>
        <v>0</v>
      </c>
      <c r="Q88" s="16">
        <f t="shared" si="31"/>
        <v>0</v>
      </c>
      <c r="R88" s="16">
        <f t="shared" si="31"/>
        <v>0</v>
      </c>
      <c r="S88" s="16">
        <f t="shared" si="31"/>
        <v>0</v>
      </c>
      <c r="T88" s="16">
        <f t="shared" si="31"/>
        <v>0</v>
      </c>
      <c r="U88" s="16">
        <f t="shared" si="7"/>
        <v>0</v>
      </c>
      <c r="V88" s="16">
        <f t="shared" si="8"/>
        <v>0</v>
      </c>
      <c r="W88" s="16">
        <f t="shared" si="8"/>
        <v>0</v>
      </c>
      <c r="Y88" s="51">
        <f t="shared" si="32"/>
        <v>77.05</v>
      </c>
      <c r="AA88" s="44">
        <f t="shared" si="33"/>
        <v>0</v>
      </c>
      <c r="AC88" s="16" t="str">
        <f t="shared" si="34"/>
        <v>A</v>
      </c>
    </row>
    <row r="89" spans="1:29" ht="18" customHeight="1" x14ac:dyDescent="0.3">
      <c r="A89" s="47" t="s">
        <v>72</v>
      </c>
      <c r="B89" s="48" t="str">
        <f>'Detailed Marks'!A68</f>
        <v>210418C</v>
      </c>
      <c r="C89" s="48" t="str">
        <f>'Detailed Marks'!B68</f>
        <v>NAYANTHARA J.N.P.</v>
      </c>
      <c r="D89" s="49"/>
      <c r="E89" s="6" t="str">
        <f t="shared" si="27"/>
        <v>A+</v>
      </c>
      <c r="F89" s="68">
        <f t="shared" si="28"/>
        <v>84.53</v>
      </c>
      <c r="G89" s="50">
        <f>'Detailed Marks'!L68/'Detailed Marks'!$L$3*'Final Marks'!$G$24</f>
        <v>29.24</v>
      </c>
      <c r="H89" s="50">
        <f t="shared" si="29"/>
        <v>55.29</v>
      </c>
      <c r="I89" s="6">
        <f>'Detailed Marks'!M68</f>
        <v>55.29</v>
      </c>
      <c r="J89" s="6">
        <f t="shared" si="30"/>
        <v>1</v>
      </c>
      <c r="K89" s="16">
        <f t="shared" si="31"/>
        <v>1</v>
      </c>
      <c r="L89" s="16">
        <f t="shared" si="31"/>
        <v>0</v>
      </c>
      <c r="M89" s="16">
        <f t="shared" si="31"/>
        <v>0</v>
      </c>
      <c r="N89" s="16">
        <f t="shared" si="31"/>
        <v>0</v>
      </c>
      <c r="O89" s="16">
        <f t="shared" si="31"/>
        <v>0</v>
      </c>
      <c r="P89" s="16">
        <f t="shared" si="31"/>
        <v>0</v>
      </c>
      <c r="Q89" s="16">
        <f t="shared" si="31"/>
        <v>0</v>
      </c>
      <c r="R89" s="16">
        <f t="shared" si="31"/>
        <v>0</v>
      </c>
      <c r="S89" s="16">
        <f t="shared" si="31"/>
        <v>0</v>
      </c>
      <c r="T89" s="16">
        <f t="shared" si="31"/>
        <v>0</v>
      </c>
      <c r="U89" s="16">
        <f t="shared" si="7"/>
        <v>0</v>
      </c>
      <c r="V89" s="16">
        <f t="shared" si="8"/>
        <v>0</v>
      </c>
      <c r="W89" s="16">
        <f t="shared" si="8"/>
        <v>0</v>
      </c>
      <c r="Y89" s="51">
        <f t="shared" si="32"/>
        <v>84.53</v>
      </c>
      <c r="AA89" s="44">
        <f t="shared" si="33"/>
        <v>0</v>
      </c>
      <c r="AC89" s="16" t="str">
        <f t="shared" si="34"/>
        <v>A+</v>
      </c>
    </row>
    <row r="90" spans="1:29" ht="18" customHeight="1" x14ac:dyDescent="0.3">
      <c r="A90" s="47" t="s">
        <v>72</v>
      </c>
      <c r="B90" s="48" t="str">
        <f>'Detailed Marks'!A69</f>
        <v>210433R</v>
      </c>
      <c r="C90" s="48" t="str">
        <f>'Detailed Marks'!B69</f>
        <v>NIROSHAN E.M.A.R.</v>
      </c>
      <c r="D90" s="49"/>
      <c r="E90" s="6" t="str">
        <f t="shared" si="27"/>
        <v>B+</v>
      </c>
      <c r="F90" s="68">
        <f t="shared" si="28"/>
        <v>65.94</v>
      </c>
      <c r="G90" s="50">
        <f>'Detailed Marks'!L69/'Detailed Marks'!$L$3*'Final Marks'!$G$24</f>
        <v>15.4</v>
      </c>
      <c r="H90" s="50">
        <f t="shared" si="29"/>
        <v>50.54</v>
      </c>
      <c r="I90" s="6">
        <f>'Detailed Marks'!M69</f>
        <v>50.54</v>
      </c>
      <c r="J90" s="6">
        <f t="shared" si="30"/>
        <v>1</v>
      </c>
      <c r="K90" s="16">
        <f t="shared" si="31"/>
        <v>0</v>
      </c>
      <c r="L90" s="16">
        <f t="shared" si="31"/>
        <v>0</v>
      </c>
      <c r="M90" s="16">
        <f t="shared" si="31"/>
        <v>0</v>
      </c>
      <c r="N90" s="16">
        <f t="shared" si="31"/>
        <v>1</v>
      </c>
      <c r="O90" s="16">
        <f t="shared" si="31"/>
        <v>0</v>
      </c>
      <c r="P90" s="16">
        <f t="shared" si="31"/>
        <v>0</v>
      </c>
      <c r="Q90" s="16">
        <f t="shared" si="31"/>
        <v>0</v>
      </c>
      <c r="R90" s="16">
        <f t="shared" si="31"/>
        <v>0</v>
      </c>
      <c r="S90" s="16">
        <f t="shared" si="31"/>
        <v>0</v>
      </c>
      <c r="T90" s="16">
        <f t="shared" si="31"/>
        <v>0</v>
      </c>
      <c r="U90" s="16">
        <f t="shared" si="7"/>
        <v>0</v>
      </c>
      <c r="V90" s="16">
        <f t="shared" si="8"/>
        <v>0</v>
      </c>
      <c r="W90" s="16">
        <f t="shared" si="8"/>
        <v>0</v>
      </c>
      <c r="Y90" s="51">
        <f t="shared" si="32"/>
        <v>65.94</v>
      </c>
      <c r="AA90" s="44">
        <f t="shared" si="33"/>
        <v>0</v>
      </c>
      <c r="AC90" s="16" t="str">
        <f t="shared" si="34"/>
        <v>B+</v>
      </c>
    </row>
    <row r="91" spans="1:29" ht="18" customHeight="1" x14ac:dyDescent="0.3">
      <c r="A91" s="47" t="s">
        <v>72</v>
      </c>
      <c r="B91" s="48" t="str">
        <f>'Detailed Marks'!A70</f>
        <v>210436E</v>
      </c>
      <c r="C91" s="48" t="str">
        <f>'Detailed Marks'!B70</f>
        <v>NIROSHANA H.K.Y.</v>
      </c>
      <c r="D91" s="49"/>
      <c r="E91" s="6" t="str">
        <f t="shared" si="27"/>
        <v>A-</v>
      </c>
      <c r="F91" s="68">
        <f t="shared" si="28"/>
        <v>71.2</v>
      </c>
      <c r="G91" s="50">
        <f>'Detailed Marks'!L70/'Detailed Marks'!$L$3*'Final Marks'!$G$24</f>
        <v>26.200000000000003</v>
      </c>
      <c r="H91" s="50">
        <f t="shared" si="29"/>
        <v>45</v>
      </c>
      <c r="I91" s="6">
        <f>'Detailed Marks'!M70</f>
        <v>45</v>
      </c>
      <c r="J91" s="6">
        <f t="shared" si="30"/>
        <v>1</v>
      </c>
      <c r="K91" s="16">
        <f t="shared" si="31"/>
        <v>0</v>
      </c>
      <c r="L91" s="16">
        <f t="shared" si="31"/>
        <v>0</v>
      </c>
      <c r="M91" s="16">
        <f t="shared" si="31"/>
        <v>1</v>
      </c>
      <c r="N91" s="16">
        <f t="shared" si="31"/>
        <v>0</v>
      </c>
      <c r="O91" s="16">
        <f t="shared" si="31"/>
        <v>0</v>
      </c>
      <c r="P91" s="16">
        <f t="shared" si="31"/>
        <v>0</v>
      </c>
      <c r="Q91" s="16">
        <f t="shared" si="31"/>
        <v>0</v>
      </c>
      <c r="R91" s="16">
        <f t="shared" si="31"/>
        <v>0</v>
      </c>
      <c r="S91" s="16">
        <f t="shared" si="31"/>
        <v>0</v>
      </c>
      <c r="T91" s="16">
        <f t="shared" si="31"/>
        <v>0</v>
      </c>
      <c r="U91" s="16">
        <f t="shared" si="7"/>
        <v>0</v>
      </c>
      <c r="V91" s="16">
        <f t="shared" si="8"/>
        <v>0</v>
      </c>
      <c r="W91" s="16">
        <f t="shared" si="8"/>
        <v>0</v>
      </c>
      <c r="Y91" s="51">
        <f t="shared" si="32"/>
        <v>71.2</v>
      </c>
      <c r="AA91" s="44">
        <f t="shared" si="33"/>
        <v>0</v>
      </c>
      <c r="AC91" s="16" t="str">
        <f t="shared" si="34"/>
        <v>A-</v>
      </c>
    </row>
    <row r="92" spans="1:29" ht="18" customHeight="1" x14ac:dyDescent="0.3">
      <c r="A92" s="47" t="s">
        <v>72</v>
      </c>
      <c r="B92" s="48" t="str">
        <f>'Detailed Marks'!A71</f>
        <v>210452A</v>
      </c>
      <c r="C92" s="48" t="str">
        <f>'Detailed Marks'!B71</f>
        <v>PATHIRANA S.M.V.</v>
      </c>
      <c r="D92" s="49"/>
      <c r="E92" s="6" t="str">
        <f t="shared" si="27"/>
        <v>B+</v>
      </c>
      <c r="F92" s="68">
        <f t="shared" si="28"/>
        <v>68.05</v>
      </c>
      <c r="G92" s="50">
        <f>'Detailed Marks'!L71/'Detailed Marks'!$L$3*'Final Marks'!$G$24</f>
        <v>19.8</v>
      </c>
      <c r="H92" s="50">
        <f t="shared" si="29"/>
        <v>48.25</v>
      </c>
      <c r="I92" s="6">
        <f>'Detailed Marks'!M71</f>
        <v>48.25</v>
      </c>
      <c r="J92" s="6">
        <f t="shared" si="30"/>
        <v>1</v>
      </c>
      <c r="K92" s="16">
        <f t="shared" si="31"/>
        <v>0</v>
      </c>
      <c r="L92" s="16">
        <f t="shared" si="31"/>
        <v>0</v>
      </c>
      <c r="M92" s="16">
        <f t="shared" si="31"/>
        <v>0</v>
      </c>
      <c r="N92" s="16">
        <f t="shared" si="31"/>
        <v>1</v>
      </c>
      <c r="O92" s="16">
        <f t="shared" si="31"/>
        <v>0</v>
      </c>
      <c r="P92" s="16">
        <f t="shared" si="31"/>
        <v>0</v>
      </c>
      <c r="Q92" s="16">
        <f t="shared" si="31"/>
        <v>0</v>
      </c>
      <c r="R92" s="16">
        <f t="shared" si="31"/>
        <v>0</v>
      </c>
      <c r="S92" s="16">
        <f t="shared" si="31"/>
        <v>0</v>
      </c>
      <c r="T92" s="16">
        <f t="shared" si="31"/>
        <v>0</v>
      </c>
      <c r="U92" s="16">
        <f t="shared" si="7"/>
        <v>0</v>
      </c>
      <c r="V92" s="16">
        <f t="shared" si="8"/>
        <v>0</v>
      </c>
      <c r="W92" s="16">
        <f t="shared" si="8"/>
        <v>0</v>
      </c>
      <c r="Y92" s="51">
        <f t="shared" si="32"/>
        <v>68.05</v>
      </c>
      <c r="AA92" s="44">
        <f t="shared" si="33"/>
        <v>0</v>
      </c>
      <c r="AC92" s="16" t="str">
        <f t="shared" si="34"/>
        <v>B+</v>
      </c>
    </row>
    <row r="93" spans="1:29" ht="18" customHeight="1" x14ac:dyDescent="0.3">
      <c r="A93" s="47" t="s">
        <v>72</v>
      </c>
      <c r="B93" s="48" t="str">
        <f>'Detailed Marks'!A72</f>
        <v>210454G</v>
      </c>
      <c r="C93" s="48" t="str">
        <f>'Detailed Marks'!B72</f>
        <v>PEIRIS D.L.C.J.</v>
      </c>
      <c r="D93" s="49"/>
      <c r="E93" s="6" t="str">
        <f t="shared" si="27"/>
        <v>B</v>
      </c>
      <c r="F93" s="68">
        <f t="shared" si="28"/>
        <v>63.88</v>
      </c>
      <c r="G93" s="50">
        <f>'Detailed Marks'!L72/'Detailed Marks'!$L$3*'Final Marks'!$G$24</f>
        <v>16</v>
      </c>
      <c r="H93" s="50">
        <f t="shared" si="29"/>
        <v>47.88</v>
      </c>
      <c r="I93" s="6">
        <f>'Detailed Marks'!M72</f>
        <v>47.88</v>
      </c>
      <c r="J93" s="6">
        <f t="shared" si="30"/>
        <v>1</v>
      </c>
      <c r="K93" s="16">
        <f t="shared" si="31"/>
        <v>0</v>
      </c>
      <c r="L93" s="16">
        <f t="shared" si="31"/>
        <v>0</v>
      </c>
      <c r="M93" s="16">
        <f t="shared" si="31"/>
        <v>0</v>
      </c>
      <c r="N93" s="16">
        <f t="shared" si="31"/>
        <v>0</v>
      </c>
      <c r="O93" s="16">
        <f t="shared" si="31"/>
        <v>1</v>
      </c>
      <c r="P93" s="16">
        <f t="shared" si="31"/>
        <v>0</v>
      </c>
      <c r="Q93" s="16">
        <f t="shared" si="31"/>
        <v>0</v>
      </c>
      <c r="R93" s="16">
        <f t="shared" si="31"/>
        <v>0</v>
      </c>
      <c r="S93" s="16">
        <f t="shared" si="31"/>
        <v>0</v>
      </c>
      <c r="T93" s="16">
        <f t="shared" si="31"/>
        <v>0</v>
      </c>
      <c r="U93" s="16">
        <f t="shared" si="7"/>
        <v>0</v>
      </c>
      <c r="V93" s="16">
        <f t="shared" si="8"/>
        <v>0</v>
      </c>
      <c r="W93" s="16">
        <f t="shared" si="8"/>
        <v>0</v>
      </c>
      <c r="Y93" s="51">
        <f t="shared" si="32"/>
        <v>63.88</v>
      </c>
      <c r="AA93" s="44">
        <f t="shared" si="33"/>
        <v>0</v>
      </c>
      <c r="AC93" s="16" t="str">
        <f t="shared" si="34"/>
        <v>B</v>
      </c>
    </row>
    <row r="94" spans="1:29" ht="18" customHeight="1" x14ac:dyDescent="0.3">
      <c r="A94" s="47" t="s">
        <v>72</v>
      </c>
      <c r="B94" s="48" t="str">
        <f>'Detailed Marks'!A73</f>
        <v>210463H</v>
      </c>
      <c r="C94" s="48" t="str">
        <f>'Detailed Marks'!B73</f>
        <v>PERERA L.C.S.</v>
      </c>
      <c r="D94" s="49"/>
      <c r="E94" s="6" t="str">
        <f t="shared" si="27"/>
        <v>A-</v>
      </c>
      <c r="F94" s="68">
        <f t="shared" si="28"/>
        <v>71.150000000000006</v>
      </c>
      <c r="G94" s="50">
        <f>'Detailed Marks'!L73/'Detailed Marks'!$L$3*'Final Marks'!$G$24</f>
        <v>20.400000000000002</v>
      </c>
      <c r="H94" s="50">
        <f t="shared" si="29"/>
        <v>50.75</v>
      </c>
      <c r="I94" s="6">
        <f>'Detailed Marks'!M73</f>
        <v>50.75</v>
      </c>
      <c r="J94" s="6">
        <f t="shared" si="30"/>
        <v>1</v>
      </c>
      <c r="K94" s="16">
        <f t="shared" si="31"/>
        <v>0</v>
      </c>
      <c r="L94" s="16">
        <f t="shared" si="31"/>
        <v>0</v>
      </c>
      <c r="M94" s="16">
        <f t="shared" si="31"/>
        <v>1</v>
      </c>
      <c r="N94" s="16">
        <f t="shared" si="31"/>
        <v>0</v>
      </c>
      <c r="O94" s="16">
        <f t="shared" si="31"/>
        <v>0</v>
      </c>
      <c r="P94" s="16">
        <f t="shared" si="31"/>
        <v>0</v>
      </c>
      <c r="Q94" s="16">
        <f t="shared" si="31"/>
        <v>0</v>
      </c>
      <c r="R94" s="16">
        <f t="shared" si="31"/>
        <v>0</v>
      </c>
      <c r="S94" s="16">
        <f t="shared" si="31"/>
        <v>0</v>
      </c>
      <c r="T94" s="16">
        <f t="shared" si="31"/>
        <v>0</v>
      </c>
      <c r="U94" s="16">
        <f t="shared" si="7"/>
        <v>0</v>
      </c>
      <c r="V94" s="16">
        <f t="shared" si="8"/>
        <v>0</v>
      </c>
      <c r="W94" s="16">
        <f t="shared" si="8"/>
        <v>0</v>
      </c>
      <c r="Y94" s="51">
        <f t="shared" si="32"/>
        <v>71.150000000000006</v>
      </c>
      <c r="AA94" s="44">
        <f t="shared" si="33"/>
        <v>0</v>
      </c>
      <c r="AC94" s="16" t="str">
        <f t="shared" si="34"/>
        <v>A-</v>
      </c>
    </row>
    <row r="95" spans="1:29" ht="18" customHeight="1" x14ac:dyDescent="0.3">
      <c r="A95" s="47" t="s">
        <v>72</v>
      </c>
      <c r="B95" s="48" t="str">
        <f>'Detailed Marks'!A74</f>
        <v>210465P</v>
      </c>
      <c r="C95" s="48" t="str">
        <f>'Detailed Marks'!B74</f>
        <v>PERERA M.D.B.</v>
      </c>
      <c r="D95" s="49"/>
      <c r="E95" s="6" t="str">
        <f t="shared" si="27"/>
        <v>A</v>
      </c>
      <c r="F95" s="68">
        <f t="shared" si="28"/>
        <v>74.510000000000005</v>
      </c>
      <c r="G95" s="50">
        <f>'Detailed Marks'!L74/'Detailed Marks'!$L$3*'Final Marks'!$G$24</f>
        <v>24.8</v>
      </c>
      <c r="H95" s="50">
        <f t="shared" si="29"/>
        <v>49.71</v>
      </c>
      <c r="I95" s="6">
        <f>'Detailed Marks'!M74</f>
        <v>49.71</v>
      </c>
      <c r="J95" s="6">
        <f t="shared" si="30"/>
        <v>1</v>
      </c>
      <c r="K95" s="16">
        <f t="shared" si="31"/>
        <v>0</v>
      </c>
      <c r="L95" s="16">
        <f t="shared" si="31"/>
        <v>1</v>
      </c>
      <c r="M95" s="16">
        <f t="shared" si="31"/>
        <v>0</v>
      </c>
      <c r="N95" s="16">
        <f t="shared" si="31"/>
        <v>0</v>
      </c>
      <c r="O95" s="16">
        <f t="shared" si="31"/>
        <v>0</v>
      </c>
      <c r="P95" s="16">
        <f t="shared" si="31"/>
        <v>0</v>
      </c>
      <c r="Q95" s="16">
        <f t="shared" si="31"/>
        <v>0</v>
      </c>
      <c r="R95" s="16">
        <f t="shared" si="31"/>
        <v>0</v>
      </c>
      <c r="S95" s="16">
        <f t="shared" si="31"/>
        <v>0</v>
      </c>
      <c r="T95" s="16">
        <f t="shared" si="31"/>
        <v>0</v>
      </c>
      <c r="U95" s="16">
        <f t="shared" si="7"/>
        <v>0</v>
      </c>
      <c r="V95" s="16">
        <f t="shared" si="8"/>
        <v>0</v>
      </c>
      <c r="W95" s="16">
        <f t="shared" si="8"/>
        <v>0</v>
      </c>
      <c r="Y95" s="51">
        <f t="shared" si="32"/>
        <v>74.510000000000005</v>
      </c>
      <c r="AA95" s="44">
        <f t="shared" si="33"/>
        <v>0</v>
      </c>
      <c r="AC95" s="16" t="str">
        <f t="shared" si="34"/>
        <v>A</v>
      </c>
    </row>
    <row r="96" spans="1:29" ht="18" customHeight="1" x14ac:dyDescent="0.3">
      <c r="A96" s="47" t="s">
        <v>72</v>
      </c>
      <c r="B96" s="48" t="str">
        <f>'Detailed Marks'!A75</f>
        <v>210476B</v>
      </c>
      <c r="C96" s="48" t="str">
        <f>'Detailed Marks'!B75</f>
        <v>PIRAGASH P.</v>
      </c>
      <c r="D96" s="49"/>
      <c r="E96" s="6" t="str">
        <f t="shared" si="27"/>
        <v>B</v>
      </c>
      <c r="F96" s="68">
        <f t="shared" si="28"/>
        <v>60.75</v>
      </c>
      <c r="G96" s="50">
        <f>'Detailed Marks'!L75/'Detailed Marks'!$L$3*'Final Marks'!$G$24</f>
        <v>15</v>
      </c>
      <c r="H96" s="50">
        <f t="shared" si="29"/>
        <v>45.75</v>
      </c>
      <c r="I96" s="6">
        <f>'Detailed Marks'!M75</f>
        <v>45.75</v>
      </c>
      <c r="J96" s="6">
        <f t="shared" si="30"/>
        <v>1</v>
      </c>
      <c r="K96" s="16">
        <f t="shared" si="31"/>
        <v>0</v>
      </c>
      <c r="L96" s="16">
        <f t="shared" si="31"/>
        <v>0</v>
      </c>
      <c r="M96" s="16">
        <f t="shared" si="31"/>
        <v>0</v>
      </c>
      <c r="N96" s="16">
        <f t="shared" si="31"/>
        <v>0</v>
      </c>
      <c r="O96" s="16">
        <f t="shared" si="31"/>
        <v>1</v>
      </c>
      <c r="P96" s="16">
        <f t="shared" si="31"/>
        <v>0</v>
      </c>
      <c r="Q96" s="16">
        <f t="shared" si="31"/>
        <v>0</v>
      </c>
      <c r="R96" s="16">
        <f t="shared" si="31"/>
        <v>0</v>
      </c>
      <c r="S96" s="16">
        <f t="shared" si="31"/>
        <v>0</v>
      </c>
      <c r="T96" s="16">
        <f t="shared" si="31"/>
        <v>0</v>
      </c>
      <c r="U96" s="16">
        <f t="shared" si="7"/>
        <v>0</v>
      </c>
      <c r="V96" s="16">
        <f t="shared" si="8"/>
        <v>0</v>
      </c>
      <c r="W96" s="16">
        <f t="shared" si="8"/>
        <v>0</v>
      </c>
      <c r="Y96" s="51">
        <f t="shared" si="32"/>
        <v>60.75</v>
      </c>
      <c r="AA96" s="44">
        <f t="shared" si="33"/>
        <v>0</v>
      </c>
      <c r="AC96" s="16" t="str">
        <f t="shared" si="34"/>
        <v>B</v>
      </c>
    </row>
    <row r="97" spans="1:29" ht="18" customHeight="1" x14ac:dyDescent="0.3">
      <c r="A97" s="47" t="s">
        <v>72</v>
      </c>
      <c r="B97" s="48" t="str">
        <f>'Detailed Marks'!A76</f>
        <v>210479L</v>
      </c>
      <c r="C97" s="48" t="str">
        <f>'Detailed Marks'!B76</f>
        <v>PITIWADUGE R.P.</v>
      </c>
      <c r="D97" s="49"/>
      <c r="E97" s="6" t="str">
        <f t="shared" si="27"/>
        <v>A</v>
      </c>
      <c r="F97" s="68">
        <f t="shared" si="28"/>
        <v>77.75</v>
      </c>
      <c r="G97" s="50">
        <f>'Detailed Marks'!L76/'Detailed Marks'!$L$3*'Final Marks'!$G$24</f>
        <v>29</v>
      </c>
      <c r="H97" s="50">
        <f t="shared" si="29"/>
        <v>48.75</v>
      </c>
      <c r="I97" s="6">
        <f>'Detailed Marks'!M76</f>
        <v>48.75</v>
      </c>
      <c r="J97" s="6">
        <f t="shared" si="30"/>
        <v>1</v>
      </c>
      <c r="K97" s="16">
        <f t="shared" si="31"/>
        <v>0</v>
      </c>
      <c r="L97" s="16">
        <f t="shared" si="31"/>
        <v>1</v>
      </c>
      <c r="M97" s="16">
        <f t="shared" si="31"/>
        <v>0</v>
      </c>
      <c r="N97" s="16">
        <f t="shared" si="31"/>
        <v>0</v>
      </c>
      <c r="O97" s="16">
        <f t="shared" si="31"/>
        <v>0</v>
      </c>
      <c r="P97" s="16">
        <f t="shared" si="31"/>
        <v>0</v>
      </c>
      <c r="Q97" s="16">
        <f t="shared" si="31"/>
        <v>0</v>
      </c>
      <c r="R97" s="16">
        <f t="shared" si="31"/>
        <v>0</v>
      </c>
      <c r="S97" s="16">
        <f t="shared" si="31"/>
        <v>0</v>
      </c>
      <c r="T97" s="16">
        <f t="shared" si="31"/>
        <v>0</v>
      </c>
      <c r="U97" s="16">
        <f t="shared" si="7"/>
        <v>0</v>
      </c>
      <c r="V97" s="16">
        <f t="shared" si="8"/>
        <v>0</v>
      </c>
      <c r="W97" s="16">
        <f t="shared" si="8"/>
        <v>0</v>
      </c>
      <c r="Y97" s="51">
        <f t="shared" si="32"/>
        <v>77.75</v>
      </c>
      <c r="AA97" s="44">
        <f t="shared" si="33"/>
        <v>0</v>
      </c>
      <c r="AC97" s="16" t="str">
        <f t="shared" si="34"/>
        <v>A</v>
      </c>
    </row>
    <row r="98" spans="1:29" ht="18" customHeight="1" x14ac:dyDescent="0.3">
      <c r="A98" s="47" t="s">
        <v>72</v>
      </c>
      <c r="B98" s="48" t="str">
        <f>'Detailed Marks'!A77</f>
        <v>210486F</v>
      </c>
      <c r="C98" s="48" t="str">
        <f>'Detailed Marks'!B77</f>
        <v>PRABHASHANA M.R.M.</v>
      </c>
      <c r="D98" s="49"/>
      <c r="E98" s="6" t="str">
        <f t="shared" si="27"/>
        <v>B+</v>
      </c>
      <c r="F98" s="68">
        <f t="shared" si="28"/>
        <v>65.19</v>
      </c>
      <c r="G98" s="50">
        <f>'Detailed Marks'!L77/'Detailed Marks'!$L$3*'Final Marks'!$G$24</f>
        <v>17</v>
      </c>
      <c r="H98" s="50">
        <f t="shared" si="29"/>
        <v>48.19</v>
      </c>
      <c r="I98" s="6">
        <f>'Detailed Marks'!M77</f>
        <v>48.19</v>
      </c>
      <c r="J98" s="6">
        <f t="shared" si="30"/>
        <v>1</v>
      </c>
      <c r="K98" s="16">
        <f t="shared" si="31"/>
        <v>0</v>
      </c>
      <c r="L98" s="16">
        <f t="shared" si="31"/>
        <v>0</v>
      </c>
      <c r="M98" s="16">
        <f t="shared" si="31"/>
        <v>0</v>
      </c>
      <c r="N98" s="16">
        <f t="shared" si="31"/>
        <v>1</v>
      </c>
      <c r="O98" s="16">
        <f t="shared" si="31"/>
        <v>0</v>
      </c>
      <c r="P98" s="16">
        <f t="shared" ref="K98:T113" si="35">IF($D98="",IF($E98=P$24,1,0),IF($D98=P$24,1,0))</f>
        <v>0</v>
      </c>
      <c r="Q98" s="16">
        <f t="shared" si="35"/>
        <v>0</v>
      </c>
      <c r="R98" s="16">
        <f t="shared" si="35"/>
        <v>0</v>
      </c>
      <c r="S98" s="16">
        <f t="shared" si="35"/>
        <v>0</v>
      </c>
      <c r="T98" s="16">
        <f t="shared" si="35"/>
        <v>0</v>
      </c>
      <c r="U98" s="16">
        <f t="shared" si="7"/>
        <v>0</v>
      </c>
      <c r="V98" s="16">
        <f t="shared" si="8"/>
        <v>0</v>
      </c>
      <c r="W98" s="16">
        <f t="shared" si="8"/>
        <v>0</v>
      </c>
      <c r="Y98" s="51">
        <f t="shared" si="32"/>
        <v>65.19</v>
      </c>
      <c r="AA98" s="44">
        <f t="shared" si="33"/>
        <v>0</v>
      </c>
      <c r="AC98" s="16" t="str">
        <f t="shared" si="34"/>
        <v>B+</v>
      </c>
    </row>
    <row r="99" spans="1:29" ht="18" customHeight="1" x14ac:dyDescent="0.3">
      <c r="A99" s="47" t="s">
        <v>72</v>
      </c>
      <c r="B99" s="48" t="str">
        <f>'Detailed Marks'!A78</f>
        <v>210490L</v>
      </c>
      <c r="C99" s="48" t="str">
        <f>'Detailed Marks'!B78</f>
        <v>PRABODHA K.P.K.A.</v>
      </c>
      <c r="D99" s="49"/>
      <c r="E99" s="6" t="str">
        <f t="shared" si="27"/>
        <v>A</v>
      </c>
      <c r="F99" s="68">
        <f t="shared" si="28"/>
        <v>76.84</v>
      </c>
      <c r="G99" s="50">
        <f>'Detailed Marks'!L78/'Detailed Marks'!$L$3*'Final Marks'!$G$24</f>
        <v>21.8</v>
      </c>
      <c r="H99" s="50">
        <f t="shared" si="29"/>
        <v>55.040000000000006</v>
      </c>
      <c r="I99" s="6">
        <f>'Detailed Marks'!M78</f>
        <v>55.04</v>
      </c>
      <c r="J99" s="6">
        <f t="shared" si="30"/>
        <v>1</v>
      </c>
      <c r="K99" s="16">
        <f t="shared" si="35"/>
        <v>0</v>
      </c>
      <c r="L99" s="16">
        <f t="shared" si="35"/>
        <v>1</v>
      </c>
      <c r="M99" s="16">
        <f t="shared" si="35"/>
        <v>0</v>
      </c>
      <c r="N99" s="16">
        <f t="shared" si="35"/>
        <v>0</v>
      </c>
      <c r="O99" s="16">
        <f t="shared" si="35"/>
        <v>0</v>
      </c>
      <c r="P99" s="16">
        <f t="shared" si="35"/>
        <v>0</v>
      </c>
      <c r="Q99" s="16">
        <f t="shared" si="35"/>
        <v>0</v>
      </c>
      <c r="R99" s="16">
        <f t="shared" si="35"/>
        <v>0</v>
      </c>
      <c r="S99" s="16">
        <f t="shared" si="35"/>
        <v>0</v>
      </c>
      <c r="T99" s="16">
        <f t="shared" si="35"/>
        <v>0</v>
      </c>
      <c r="U99" s="16">
        <f t="shared" si="7"/>
        <v>0</v>
      </c>
      <c r="V99" s="16">
        <f t="shared" si="8"/>
        <v>0</v>
      </c>
      <c r="W99" s="16">
        <f t="shared" si="8"/>
        <v>0</v>
      </c>
      <c r="Y99" s="51">
        <f t="shared" si="32"/>
        <v>76.84</v>
      </c>
      <c r="AA99" s="44">
        <f t="shared" si="33"/>
        <v>0</v>
      </c>
      <c r="AC99" s="16" t="str">
        <f t="shared" si="34"/>
        <v>A</v>
      </c>
    </row>
    <row r="100" spans="1:29" ht="18" customHeight="1" x14ac:dyDescent="0.3">
      <c r="A100" s="47" t="s">
        <v>72</v>
      </c>
      <c r="B100" s="48" t="str">
        <f>'Detailed Marks'!A79</f>
        <v>210498T</v>
      </c>
      <c r="C100" s="48" t="str">
        <f>'Detailed Marks'!B79</f>
        <v>PRIYANKAN V.</v>
      </c>
      <c r="D100" s="49"/>
      <c r="E100" s="6" t="str">
        <f t="shared" si="27"/>
        <v>B+</v>
      </c>
      <c r="F100" s="68">
        <f t="shared" si="28"/>
        <v>66.38</v>
      </c>
      <c r="G100" s="50">
        <f>'Detailed Marks'!L79/'Detailed Marks'!$L$3*'Final Marks'!$G$24</f>
        <v>20</v>
      </c>
      <c r="H100" s="50">
        <f t="shared" si="29"/>
        <v>46.38</v>
      </c>
      <c r="I100" s="6">
        <f>'Detailed Marks'!M79</f>
        <v>46.38</v>
      </c>
      <c r="J100" s="6">
        <f t="shared" si="30"/>
        <v>1</v>
      </c>
      <c r="K100" s="16">
        <f t="shared" si="35"/>
        <v>0</v>
      </c>
      <c r="L100" s="16">
        <f t="shared" si="35"/>
        <v>0</v>
      </c>
      <c r="M100" s="16">
        <f t="shared" si="35"/>
        <v>0</v>
      </c>
      <c r="N100" s="16">
        <f t="shared" si="35"/>
        <v>1</v>
      </c>
      <c r="O100" s="16">
        <f t="shared" si="35"/>
        <v>0</v>
      </c>
      <c r="P100" s="16">
        <f t="shared" si="35"/>
        <v>0</v>
      </c>
      <c r="Q100" s="16">
        <f t="shared" si="35"/>
        <v>0</v>
      </c>
      <c r="R100" s="16">
        <f t="shared" si="35"/>
        <v>0</v>
      </c>
      <c r="S100" s="16">
        <f t="shared" si="35"/>
        <v>0</v>
      </c>
      <c r="T100" s="16">
        <f t="shared" si="35"/>
        <v>0</v>
      </c>
      <c r="U100" s="16">
        <f t="shared" si="7"/>
        <v>0</v>
      </c>
      <c r="V100" s="16">
        <f t="shared" si="8"/>
        <v>0</v>
      </c>
      <c r="W100" s="16">
        <f t="shared" si="8"/>
        <v>0</v>
      </c>
      <c r="Y100" s="51">
        <f t="shared" si="32"/>
        <v>66.38</v>
      </c>
      <c r="AA100" s="44">
        <f t="shared" si="33"/>
        <v>0</v>
      </c>
      <c r="AC100" s="16" t="str">
        <f t="shared" si="34"/>
        <v>B+</v>
      </c>
    </row>
    <row r="101" spans="1:29" ht="18" customHeight="1" x14ac:dyDescent="0.3">
      <c r="A101" s="47" t="s">
        <v>72</v>
      </c>
      <c r="B101" s="48" t="str">
        <f>'Detailed Marks'!A80</f>
        <v>210503H</v>
      </c>
      <c r="C101" s="48" t="str">
        <f>'Detailed Marks'!B80</f>
        <v>RAJAPAKSHA I.P.D.D.</v>
      </c>
      <c r="D101" s="49"/>
      <c r="E101" s="6" t="str">
        <f t="shared" si="27"/>
        <v>A-</v>
      </c>
      <c r="F101" s="68">
        <f t="shared" si="28"/>
        <v>71.33</v>
      </c>
      <c r="G101" s="50">
        <f>'Detailed Marks'!L80/'Detailed Marks'!$L$3*'Final Marks'!$G$24</f>
        <v>21</v>
      </c>
      <c r="H101" s="50">
        <f t="shared" si="29"/>
        <v>50.33</v>
      </c>
      <c r="I101" s="6">
        <f>'Detailed Marks'!M80</f>
        <v>50.33</v>
      </c>
      <c r="J101" s="6">
        <f t="shared" si="30"/>
        <v>1</v>
      </c>
      <c r="K101" s="16">
        <f t="shared" si="35"/>
        <v>0</v>
      </c>
      <c r="L101" s="16">
        <f t="shared" si="35"/>
        <v>0</v>
      </c>
      <c r="M101" s="16">
        <f t="shared" si="35"/>
        <v>1</v>
      </c>
      <c r="N101" s="16">
        <f t="shared" si="35"/>
        <v>0</v>
      </c>
      <c r="O101" s="16">
        <f t="shared" si="35"/>
        <v>0</v>
      </c>
      <c r="P101" s="16">
        <f t="shared" si="35"/>
        <v>0</v>
      </c>
      <c r="Q101" s="16">
        <f t="shared" si="35"/>
        <v>0</v>
      </c>
      <c r="R101" s="16">
        <f t="shared" si="35"/>
        <v>0</v>
      </c>
      <c r="S101" s="16">
        <f t="shared" si="35"/>
        <v>0</v>
      </c>
      <c r="T101" s="16">
        <f t="shared" si="35"/>
        <v>0</v>
      </c>
      <c r="U101" s="16">
        <f t="shared" si="7"/>
        <v>0</v>
      </c>
      <c r="V101" s="16">
        <f t="shared" si="8"/>
        <v>0</v>
      </c>
      <c r="W101" s="16">
        <f t="shared" si="8"/>
        <v>0</v>
      </c>
      <c r="Y101" s="51">
        <f t="shared" si="32"/>
        <v>71.33</v>
      </c>
      <c r="AA101" s="44">
        <f t="shared" si="33"/>
        <v>0</v>
      </c>
      <c r="AC101" s="16" t="str">
        <f t="shared" si="34"/>
        <v>A-</v>
      </c>
    </row>
    <row r="102" spans="1:29" ht="18" customHeight="1" x14ac:dyDescent="0.3">
      <c r="A102" s="47" t="s">
        <v>72</v>
      </c>
      <c r="B102" s="48" t="str">
        <f>'Detailed Marks'!A81</f>
        <v>210504L</v>
      </c>
      <c r="C102" s="48" t="str">
        <f>'Detailed Marks'!B81</f>
        <v>RAJAPAKSHA N.N.</v>
      </c>
      <c r="D102" s="49"/>
      <c r="E102" s="6" t="str">
        <f t="shared" si="27"/>
        <v>A+</v>
      </c>
      <c r="F102" s="68">
        <f t="shared" si="28"/>
        <v>85.98</v>
      </c>
      <c r="G102" s="50">
        <f>'Detailed Marks'!L81/'Detailed Marks'!$L$3*'Final Marks'!$G$24</f>
        <v>32.6</v>
      </c>
      <c r="H102" s="50">
        <f t="shared" si="29"/>
        <v>53.38</v>
      </c>
      <c r="I102" s="6">
        <f>'Detailed Marks'!M81</f>
        <v>53.38</v>
      </c>
      <c r="J102" s="6">
        <f t="shared" si="30"/>
        <v>1</v>
      </c>
      <c r="K102" s="16">
        <f t="shared" si="35"/>
        <v>1</v>
      </c>
      <c r="L102" s="16">
        <f t="shared" si="35"/>
        <v>0</v>
      </c>
      <c r="M102" s="16">
        <f t="shared" si="35"/>
        <v>0</v>
      </c>
      <c r="N102" s="16">
        <f t="shared" si="35"/>
        <v>0</v>
      </c>
      <c r="O102" s="16">
        <f t="shared" si="35"/>
        <v>0</v>
      </c>
      <c r="P102" s="16">
        <f t="shared" si="35"/>
        <v>0</v>
      </c>
      <c r="Q102" s="16">
        <f t="shared" si="35"/>
        <v>0</v>
      </c>
      <c r="R102" s="16">
        <f t="shared" si="35"/>
        <v>0</v>
      </c>
      <c r="S102" s="16">
        <f t="shared" si="35"/>
        <v>0</v>
      </c>
      <c r="T102" s="16">
        <f t="shared" si="35"/>
        <v>0</v>
      </c>
      <c r="U102" s="16">
        <f t="shared" si="7"/>
        <v>0</v>
      </c>
      <c r="V102" s="16">
        <f t="shared" si="8"/>
        <v>0</v>
      </c>
      <c r="W102" s="16">
        <f t="shared" si="8"/>
        <v>0</v>
      </c>
      <c r="Y102" s="51">
        <f t="shared" si="32"/>
        <v>85.98</v>
      </c>
      <c r="AA102" s="44">
        <f t="shared" si="33"/>
        <v>0</v>
      </c>
      <c r="AC102" s="16" t="str">
        <f t="shared" si="34"/>
        <v>A+</v>
      </c>
    </row>
    <row r="103" spans="1:29" ht="18" customHeight="1" x14ac:dyDescent="0.3">
      <c r="A103" s="47" t="s">
        <v>72</v>
      </c>
      <c r="B103" s="48" t="str">
        <f>'Detailed Marks'!A82</f>
        <v>210512J</v>
      </c>
      <c r="C103" s="48" t="str">
        <f>'Detailed Marks'!B82</f>
        <v>RAMANAYAKE R.P.G.K.</v>
      </c>
      <c r="D103" s="49"/>
      <c r="E103" s="6" t="str">
        <f t="shared" si="27"/>
        <v>A-</v>
      </c>
      <c r="F103" s="68">
        <f t="shared" si="28"/>
        <v>69.91</v>
      </c>
      <c r="G103" s="50">
        <f>'Detailed Marks'!L82/'Detailed Marks'!$L$3*'Final Marks'!$G$24</f>
        <v>20.6</v>
      </c>
      <c r="H103" s="50">
        <f t="shared" si="29"/>
        <v>49.31</v>
      </c>
      <c r="I103" s="6">
        <f>'Detailed Marks'!M82</f>
        <v>49.31</v>
      </c>
      <c r="J103" s="6">
        <f t="shared" si="30"/>
        <v>1</v>
      </c>
      <c r="K103" s="16">
        <f t="shared" si="35"/>
        <v>0</v>
      </c>
      <c r="L103" s="16">
        <f t="shared" si="35"/>
        <v>0</v>
      </c>
      <c r="M103" s="16">
        <f t="shared" si="35"/>
        <v>1</v>
      </c>
      <c r="N103" s="16">
        <f t="shared" si="35"/>
        <v>0</v>
      </c>
      <c r="O103" s="16">
        <f t="shared" si="35"/>
        <v>0</v>
      </c>
      <c r="P103" s="16">
        <f t="shared" si="35"/>
        <v>0</v>
      </c>
      <c r="Q103" s="16">
        <f t="shared" si="35"/>
        <v>0</v>
      </c>
      <c r="R103" s="16">
        <f t="shared" si="35"/>
        <v>0</v>
      </c>
      <c r="S103" s="16">
        <f t="shared" si="35"/>
        <v>0</v>
      </c>
      <c r="T103" s="16">
        <f t="shared" si="35"/>
        <v>0</v>
      </c>
      <c r="U103" s="16">
        <f t="shared" si="7"/>
        <v>0</v>
      </c>
      <c r="V103" s="16">
        <f t="shared" si="8"/>
        <v>0</v>
      </c>
      <c r="W103" s="16">
        <f t="shared" si="8"/>
        <v>0</v>
      </c>
      <c r="Y103" s="51">
        <f t="shared" si="32"/>
        <v>69.91</v>
      </c>
      <c r="AA103" s="44">
        <f t="shared" si="33"/>
        <v>0</v>
      </c>
      <c r="AC103" s="16" t="str">
        <f t="shared" si="34"/>
        <v>A-</v>
      </c>
    </row>
    <row r="104" spans="1:29" ht="18" customHeight="1" x14ac:dyDescent="0.3">
      <c r="A104" s="47" t="s">
        <v>72</v>
      </c>
      <c r="B104" s="48" t="str">
        <f>'Detailed Marks'!A83</f>
        <v>210533A</v>
      </c>
      <c r="C104" s="48" t="str">
        <f>'Detailed Marks'!B83</f>
        <v>RATHNAMALALA T.N.S.</v>
      </c>
      <c r="D104" s="49"/>
      <c r="E104" s="6" t="str">
        <f t="shared" si="27"/>
        <v>B-</v>
      </c>
      <c r="F104" s="68">
        <f t="shared" si="28"/>
        <v>58.94</v>
      </c>
      <c r="G104" s="50">
        <f>'Detailed Marks'!L83/'Detailed Marks'!$L$3*'Final Marks'!$G$24</f>
        <v>15.4</v>
      </c>
      <c r="H104" s="50">
        <f t="shared" si="29"/>
        <v>43.54</v>
      </c>
      <c r="I104" s="6">
        <f>'Detailed Marks'!M83</f>
        <v>43.54</v>
      </c>
      <c r="J104" s="6" t="str">
        <f t="shared" si="30"/>
        <v/>
      </c>
      <c r="K104" s="16">
        <f t="shared" si="35"/>
        <v>0</v>
      </c>
      <c r="L104" s="16">
        <f t="shared" si="35"/>
        <v>0</v>
      </c>
      <c r="M104" s="16">
        <f t="shared" si="35"/>
        <v>0</v>
      </c>
      <c r="N104" s="16">
        <f t="shared" si="35"/>
        <v>0</v>
      </c>
      <c r="O104" s="16">
        <f t="shared" si="35"/>
        <v>0</v>
      </c>
      <c r="P104" s="16">
        <f t="shared" si="35"/>
        <v>1</v>
      </c>
      <c r="Q104" s="16">
        <f t="shared" si="35"/>
        <v>0</v>
      </c>
      <c r="R104" s="16">
        <f t="shared" si="35"/>
        <v>0</v>
      </c>
      <c r="S104" s="16">
        <f t="shared" si="35"/>
        <v>0</v>
      </c>
      <c r="T104" s="16">
        <f t="shared" si="35"/>
        <v>0</v>
      </c>
      <c r="U104" s="16">
        <f t="shared" si="7"/>
        <v>0</v>
      </c>
      <c r="V104" s="16">
        <f t="shared" si="8"/>
        <v>0</v>
      </c>
      <c r="W104" s="16">
        <f t="shared" si="8"/>
        <v>0</v>
      </c>
      <c r="Y104" s="51">
        <f t="shared" si="32"/>
        <v>58.94</v>
      </c>
      <c r="AA104" s="44">
        <f t="shared" si="33"/>
        <v>0</v>
      </c>
      <c r="AC104" s="16" t="str">
        <f t="shared" si="34"/>
        <v>B-</v>
      </c>
    </row>
    <row r="105" spans="1:29" ht="18" customHeight="1" x14ac:dyDescent="0.3">
      <c r="A105" s="47" t="s">
        <v>72</v>
      </c>
      <c r="B105" s="48" t="str">
        <f>'Detailed Marks'!A84</f>
        <v>210542B</v>
      </c>
      <c r="C105" s="48" t="str">
        <f>'Detailed Marks'!B84</f>
        <v>RATNAYAKE R.M.L.H.</v>
      </c>
      <c r="D105" s="49"/>
      <c r="E105" s="6" t="str">
        <f t="shared" si="27"/>
        <v>A+</v>
      </c>
      <c r="F105" s="68">
        <f t="shared" si="28"/>
        <v>84.820000000000007</v>
      </c>
      <c r="G105" s="50">
        <f>'Detailed Marks'!L84/'Detailed Marks'!$L$3*'Final Marks'!$G$24</f>
        <v>29.200000000000003</v>
      </c>
      <c r="H105" s="50">
        <f t="shared" si="29"/>
        <v>55.620000000000005</v>
      </c>
      <c r="I105" s="6">
        <f>'Detailed Marks'!M84</f>
        <v>55.62</v>
      </c>
      <c r="J105" s="6">
        <f t="shared" si="30"/>
        <v>1</v>
      </c>
      <c r="K105" s="16">
        <f t="shared" si="35"/>
        <v>1</v>
      </c>
      <c r="L105" s="16">
        <f t="shared" si="35"/>
        <v>0</v>
      </c>
      <c r="M105" s="16">
        <f t="shared" si="35"/>
        <v>0</v>
      </c>
      <c r="N105" s="16">
        <f t="shared" si="35"/>
        <v>0</v>
      </c>
      <c r="O105" s="16">
        <f t="shared" si="35"/>
        <v>0</v>
      </c>
      <c r="P105" s="16">
        <f t="shared" si="35"/>
        <v>0</v>
      </c>
      <c r="Q105" s="16">
        <f t="shared" si="35"/>
        <v>0</v>
      </c>
      <c r="R105" s="16">
        <f t="shared" si="35"/>
        <v>0</v>
      </c>
      <c r="S105" s="16">
        <f t="shared" si="35"/>
        <v>0</v>
      </c>
      <c r="T105" s="16">
        <f t="shared" si="35"/>
        <v>0</v>
      </c>
      <c r="U105" s="16">
        <f t="shared" si="7"/>
        <v>0</v>
      </c>
      <c r="V105" s="16">
        <f t="shared" si="8"/>
        <v>0</v>
      </c>
      <c r="W105" s="16">
        <f t="shared" si="8"/>
        <v>0</v>
      </c>
      <c r="Y105" s="51">
        <f t="shared" si="32"/>
        <v>84.820000000000007</v>
      </c>
      <c r="AA105" s="44">
        <f t="shared" si="33"/>
        <v>0</v>
      </c>
      <c r="AC105" s="16" t="str">
        <f t="shared" si="34"/>
        <v>A+</v>
      </c>
    </row>
    <row r="106" spans="1:29" ht="18" customHeight="1" x14ac:dyDescent="0.3">
      <c r="A106" s="47" t="s">
        <v>72</v>
      </c>
      <c r="B106" s="48" t="str">
        <f>'Detailed Marks'!A85</f>
        <v>210557B</v>
      </c>
      <c r="C106" s="48" t="str">
        <f>'Detailed Marks'!B85</f>
        <v>SAMARANAYAKE G.D.C.</v>
      </c>
      <c r="D106" s="49"/>
      <c r="E106" s="6" t="str">
        <f t="shared" si="27"/>
        <v>A</v>
      </c>
      <c r="F106" s="68">
        <f t="shared" si="28"/>
        <v>75.19</v>
      </c>
      <c r="G106" s="50">
        <f>'Detailed Marks'!L85/'Detailed Marks'!$L$3*'Final Marks'!$G$24</f>
        <v>26.8</v>
      </c>
      <c r="H106" s="50">
        <f t="shared" si="29"/>
        <v>48.39</v>
      </c>
      <c r="I106" s="6">
        <f>'Detailed Marks'!M85</f>
        <v>48.39</v>
      </c>
      <c r="J106" s="6">
        <f t="shared" si="30"/>
        <v>1</v>
      </c>
      <c r="K106" s="16">
        <f t="shared" si="35"/>
        <v>0</v>
      </c>
      <c r="L106" s="16">
        <f t="shared" si="35"/>
        <v>1</v>
      </c>
      <c r="M106" s="16">
        <f t="shared" si="35"/>
        <v>0</v>
      </c>
      <c r="N106" s="16">
        <f t="shared" si="35"/>
        <v>0</v>
      </c>
      <c r="O106" s="16">
        <f t="shared" si="35"/>
        <v>0</v>
      </c>
      <c r="P106" s="16">
        <f t="shared" si="35"/>
        <v>0</v>
      </c>
      <c r="Q106" s="16">
        <f t="shared" si="35"/>
        <v>0</v>
      </c>
      <c r="R106" s="16">
        <f t="shared" si="35"/>
        <v>0</v>
      </c>
      <c r="S106" s="16">
        <f t="shared" si="35"/>
        <v>0</v>
      </c>
      <c r="T106" s="16">
        <f t="shared" si="35"/>
        <v>0</v>
      </c>
      <c r="U106" s="16">
        <f t="shared" si="7"/>
        <v>0</v>
      </c>
      <c r="V106" s="16">
        <f t="shared" si="8"/>
        <v>0</v>
      </c>
      <c r="W106" s="16">
        <f t="shared" si="8"/>
        <v>0</v>
      </c>
      <c r="Y106" s="51">
        <f t="shared" si="32"/>
        <v>75.19</v>
      </c>
      <c r="AA106" s="44">
        <f t="shared" si="33"/>
        <v>0</v>
      </c>
      <c r="AC106" s="16" t="str">
        <f t="shared" si="34"/>
        <v>A</v>
      </c>
    </row>
    <row r="107" spans="1:29" ht="18" customHeight="1" x14ac:dyDescent="0.3">
      <c r="A107" s="47" t="s">
        <v>72</v>
      </c>
      <c r="B107" s="48" t="str">
        <f>'Detailed Marks'!A86</f>
        <v>210559H</v>
      </c>
      <c r="C107" s="48" t="str">
        <f>'Detailed Marks'!B86</f>
        <v>SAMARANAYAKE M.A.S.</v>
      </c>
      <c r="D107" s="49"/>
      <c r="E107" s="6" t="str">
        <f t="shared" si="27"/>
        <v>A-</v>
      </c>
      <c r="F107" s="68">
        <f t="shared" si="28"/>
        <v>69.63</v>
      </c>
      <c r="G107" s="50">
        <f>'Detailed Marks'!L86/'Detailed Marks'!$L$3*'Final Marks'!$G$24</f>
        <v>21.400000000000002</v>
      </c>
      <c r="H107" s="50">
        <f t="shared" si="29"/>
        <v>48.23</v>
      </c>
      <c r="I107" s="6">
        <f>'Detailed Marks'!M86</f>
        <v>48.23</v>
      </c>
      <c r="J107" s="6">
        <f t="shared" si="30"/>
        <v>1</v>
      </c>
      <c r="K107" s="16">
        <f t="shared" si="35"/>
        <v>0</v>
      </c>
      <c r="L107" s="16">
        <f t="shared" si="35"/>
        <v>0</v>
      </c>
      <c r="M107" s="16">
        <f t="shared" si="35"/>
        <v>1</v>
      </c>
      <c r="N107" s="16">
        <f t="shared" si="35"/>
        <v>0</v>
      </c>
      <c r="O107" s="16">
        <f t="shared" si="35"/>
        <v>0</v>
      </c>
      <c r="P107" s="16">
        <f t="shared" si="35"/>
        <v>0</v>
      </c>
      <c r="Q107" s="16">
        <f t="shared" si="35"/>
        <v>0</v>
      </c>
      <c r="R107" s="16">
        <f t="shared" si="35"/>
        <v>0</v>
      </c>
      <c r="S107" s="16">
        <f t="shared" si="35"/>
        <v>0</v>
      </c>
      <c r="T107" s="16">
        <f t="shared" si="35"/>
        <v>0</v>
      </c>
      <c r="U107" s="16">
        <f t="shared" si="7"/>
        <v>0</v>
      </c>
      <c r="V107" s="16">
        <f t="shared" si="8"/>
        <v>0</v>
      </c>
      <c r="W107" s="16">
        <f t="shared" si="8"/>
        <v>0</v>
      </c>
      <c r="Y107" s="51">
        <f t="shared" si="32"/>
        <v>69.63</v>
      </c>
      <c r="AA107" s="44">
        <f t="shared" si="33"/>
        <v>0</v>
      </c>
      <c r="AC107" s="16" t="str">
        <f t="shared" si="34"/>
        <v>A-</v>
      </c>
    </row>
    <row r="108" spans="1:29" ht="18" customHeight="1" x14ac:dyDescent="0.3">
      <c r="A108" s="47" t="s">
        <v>72</v>
      </c>
      <c r="B108" s="48" t="str">
        <f>'Detailed Marks'!A87</f>
        <v>210583B</v>
      </c>
      <c r="C108" s="48" t="str">
        <f>'Detailed Marks'!B87</f>
        <v>SEHARA G.M.M.</v>
      </c>
      <c r="D108" s="49"/>
      <c r="E108" s="6" t="str">
        <f t="shared" ref="E108:E110" si="36">+IF(AND(C108="",B108=""),"",IF(AA108=0,AC108,AA108))</f>
        <v>A</v>
      </c>
      <c r="F108" s="68">
        <f t="shared" ref="F108:F110" si="37">G108+H108</f>
        <v>82.95</v>
      </c>
      <c r="G108" s="50">
        <f>'Detailed Marks'!L87/'Detailed Marks'!$L$3*'Final Marks'!$G$24</f>
        <v>29.200000000000003</v>
      </c>
      <c r="H108" s="50">
        <f t="shared" ref="H108:H110" si="38">I108*H$24/I$24</f>
        <v>53.75</v>
      </c>
      <c r="I108" s="6">
        <f>'Detailed Marks'!M87</f>
        <v>53.75</v>
      </c>
      <c r="J108" s="6">
        <f t="shared" ref="J108:J110" si="39">IF(I108/$I$24&gt;=75,1,"")</f>
        <v>1</v>
      </c>
      <c r="K108" s="16">
        <f t="shared" si="35"/>
        <v>0</v>
      </c>
      <c r="L108" s="16">
        <f t="shared" si="35"/>
        <v>1</v>
      </c>
      <c r="M108" s="16">
        <f t="shared" si="35"/>
        <v>0</v>
      </c>
      <c r="N108" s="16">
        <f t="shared" si="35"/>
        <v>0</v>
      </c>
      <c r="O108" s="16">
        <f t="shared" si="35"/>
        <v>0</v>
      </c>
      <c r="P108" s="16">
        <f t="shared" si="35"/>
        <v>0</v>
      </c>
      <c r="Q108" s="16">
        <f t="shared" si="35"/>
        <v>0</v>
      </c>
      <c r="R108" s="16">
        <f t="shared" si="35"/>
        <v>0</v>
      </c>
      <c r="S108" s="16">
        <f t="shared" si="35"/>
        <v>0</v>
      </c>
      <c r="T108" s="16">
        <f t="shared" si="35"/>
        <v>0</v>
      </c>
      <c r="U108" s="16">
        <f t="shared" si="7"/>
        <v>0</v>
      </c>
      <c r="V108" s="16">
        <f t="shared" si="8"/>
        <v>0</v>
      </c>
      <c r="W108" s="16">
        <f t="shared" si="8"/>
        <v>0</v>
      </c>
      <c r="Y108" s="51">
        <f t="shared" ref="Y108:Y110" si="40">F108</f>
        <v>82.95</v>
      </c>
      <c r="AA108" s="44">
        <f t="shared" ref="AA108:AA110" si="41">+IF(OR(A108="",A108="N"),0,
IF(A108="U",
IF(OR(AC108="I-we",AC108="I-ca",AC108="F"),"**I",
IF(Y108&gt;=R$23,"C",
IF(Y108&gt;=S$23,"C-","**D"))),
IF(A108="PF",
IF(OR(AC108="I-we",AC108="I-ca",AC108="F"),AC108,
IF(Y108&gt;=R$23,"C",
IF(Y108&gt;=S$23,"C-","**D"))),
IF(A108="PI-ca",IF(AC108="I-we","DATA",IF(AC108="I-ca",AC108,
IF(Y108&gt;=R$23,"C",
IF(Y108&gt;=S$23,"C-",IF(Y108&gt;=T$23,"D","DATA"))))),IF(A108="PI-we",
IF(AC108="I-ca","DATA",IF(AC108="I-we",AC108,IF(Y108&gt;=R$23,"C",
IF(Y108&gt;=S$23,"C-",IF(Y108&gt;=T$23,"D","DATA"))))
)))
)))</f>
        <v>0</v>
      </c>
      <c r="AC108" s="16" t="str">
        <f t="shared" ref="AC108:AC110" si="42">IF(AND(H108&gt;=$D$15*$H$24,G108&gt;=$D$15*$G$24),IF(F108&gt;=$O$23,IF(F108&gt;=$K$23,"A+",IF(F108&gt;=$L$23,"A",IF(F108&gt;=$M$23,"A-",IF(F108&gt;=$N$23,"B+","B")))),IF(F108&lt;$T$23,"I",IF(F108&lt;$S$23,"D",IF(F108&lt;$R$23,"C-",IF(F108&lt;$Q$23,"C",IF(F108&lt;$P$23,"C+",IF(F108&lt;$O$23,"B-","B"))))))),IF(AND(H108&lt;$D$15*$H$24,G108&lt;$D$15*$G$24),"F",IF(H108&lt;$D$15*$H$24,"I-ca","I-we")))</f>
        <v>A</v>
      </c>
    </row>
    <row r="109" spans="1:29" ht="18" customHeight="1" x14ac:dyDescent="0.3">
      <c r="A109" s="47" t="s">
        <v>72</v>
      </c>
      <c r="B109" s="48" t="str">
        <f>'Detailed Marks'!A88</f>
        <v>210594J</v>
      </c>
      <c r="C109" s="48" t="str">
        <f>'Detailed Marks'!B88</f>
        <v>SENAVIRATHNE I.U.B.</v>
      </c>
      <c r="D109" s="49"/>
      <c r="E109" s="6" t="str">
        <f t="shared" si="36"/>
        <v>A</v>
      </c>
      <c r="F109" s="68">
        <f t="shared" si="37"/>
        <v>83.87</v>
      </c>
      <c r="G109" s="50">
        <f>'Detailed Marks'!L88/'Detailed Marks'!$L$3*'Final Marks'!$G$24</f>
        <v>30.200000000000003</v>
      </c>
      <c r="H109" s="50">
        <f t="shared" si="38"/>
        <v>53.67</v>
      </c>
      <c r="I109" s="6">
        <f>'Detailed Marks'!M88</f>
        <v>53.67</v>
      </c>
      <c r="J109" s="6">
        <f t="shared" si="39"/>
        <v>1</v>
      </c>
      <c r="K109" s="16">
        <f t="shared" si="35"/>
        <v>0</v>
      </c>
      <c r="L109" s="16">
        <f t="shared" si="35"/>
        <v>1</v>
      </c>
      <c r="M109" s="16">
        <f t="shared" si="35"/>
        <v>0</v>
      </c>
      <c r="N109" s="16">
        <f t="shared" si="35"/>
        <v>0</v>
      </c>
      <c r="O109" s="16">
        <f t="shared" si="35"/>
        <v>0</v>
      </c>
      <c r="P109" s="16">
        <f t="shared" si="35"/>
        <v>0</v>
      </c>
      <c r="Q109" s="16">
        <f t="shared" si="35"/>
        <v>0</v>
      </c>
      <c r="R109" s="16">
        <f t="shared" si="35"/>
        <v>0</v>
      </c>
      <c r="S109" s="16">
        <f t="shared" si="35"/>
        <v>0</v>
      </c>
      <c r="T109" s="16">
        <f t="shared" si="35"/>
        <v>0</v>
      </c>
      <c r="U109" s="16">
        <f t="shared" si="7"/>
        <v>0</v>
      </c>
      <c r="V109" s="16">
        <f t="shared" si="8"/>
        <v>0</v>
      </c>
      <c r="W109" s="16">
        <f t="shared" si="8"/>
        <v>0</v>
      </c>
      <c r="Y109" s="51">
        <f t="shared" si="40"/>
        <v>83.87</v>
      </c>
      <c r="AA109" s="44">
        <f t="shared" si="41"/>
        <v>0</v>
      </c>
      <c r="AC109" s="16" t="str">
        <f t="shared" si="42"/>
        <v>A</v>
      </c>
    </row>
    <row r="110" spans="1:29" ht="18" customHeight="1" x14ac:dyDescent="0.3">
      <c r="A110" s="47" t="s">
        <v>72</v>
      </c>
      <c r="B110" s="48" t="str">
        <f>'Detailed Marks'!A89</f>
        <v>210599E</v>
      </c>
      <c r="C110" s="48" t="str">
        <f>'Detailed Marks'!B89</f>
        <v>SHAMAL G.B.A.</v>
      </c>
      <c r="D110" s="49"/>
      <c r="E110" s="6" t="str">
        <f t="shared" si="36"/>
        <v>A-</v>
      </c>
      <c r="F110" s="68">
        <f t="shared" si="37"/>
        <v>71.02000000000001</v>
      </c>
      <c r="G110" s="50">
        <f>'Detailed Marks'!L89/'Detailed Marks'!$L$3*'Final Marks'!$G$24</f>
        <v>22.6</v>
      </c>
      <c r="H110" s="50">
        <f t="shared" si="38"/>
        <v>48.42</v>
      </c>
      <c r="I110" s="6">
        <f>'Detailed Marks'!M89</f>
        <v>48.42</v>
      </c>
      <c r="J110" s="6">
        <f t="shared" si="39"/>
        <v>1</v>
      </c>
      <c r="K110" s="16">
        <f t="shared" si="35"/>
        <v>0</v>
      </c>
      <c r="L110" s="16">
        <f t="shared" si="35"/>
        <v>0</v>
      </c>
      <c r="M110" s="16">
        <f t="shared" si="35"/>
        <v>1</v>
      </c>
      <c r="N110" s="16">
        <f t="shared" si="35"/>
        <v>0</v>
      </c>
      <c r="O110" s="16">
        <f t="shared" si="35"/>
        <v>0</v>
      </c>
      <c r="P110" s="16">
        <f t="shared" si="35"/>
        <v>0</v>
      </c>
      <c r="Q110" s="16">
        <f t="shared" si="35"/>
        <v>0</v>
      </c>
      <c r="R110" s="16">
        <f t="shared" si="35"/>
        <v>0</v>
      </c>
      <c r="S110" s="16">
        <f t="shared" si="35"/>
        <v>0</v>
      </c>
      <c r="T110" s="16">
        <f t="shared" si="35"/>
        <v>0</v>
      </c>
      <c r="U110" s="16">
        <f t="shared" si="7"/>
        <v>0</v>
      </c>
      <c r="V110" s="16">
        <f t="shared" si="8"/>
        <v>0</v>
      </c>
      <c r="W110" s="16">
        <f t="shared" si="8"/>
        <v>0</v>
      </c>
      <c r="Y110" s="51">
        <f t="shared" si="40"/>
        <v>71.02000000000001</v>
      </c>
      <c r="AA110" s="44">
        <f t="shared" si="41"/>
        <v>0</v>
      </c>
      <c r="AC110" s="16" t="str">
        <f t="shared" si="42"/>
        <v>A-</v>
      </c>
    </row>
    <row r="111" spans="1:29" ht="18" customHeight="1" x14ac:dyDescent="0.3">
      <c r="A111" s="47" t="s">
        <v>72</v>
      </c>
      <c r="B111" s="48" t="str">
        <f>'Detailed Marks'!A90</f>
        <v>210605X</v>
      </c>
      <c r="C111" s="48" t="str">
        <f>'Detailed Marks'!B90</f>
        <v>SHEHAN M.K.J.</v>
      </c>
      <c r="D111" s="49"/>
      <c r="E111" s="6" t="str">
        <f t="shared" ref="E111:E121" si="43">+IF(AND(C111="",B111=""),"",IF(AA111=0,AC111,AA111))</f>
        <v>B+</v>
      </c>
      <c r="F111" s="68">
        <f t="shared" ref="F111:F121" si="44">G111+H111</f>
        <v>67.849999999999994</v>
      </c>
      <c r="G111" s="50">
        <f>'Detailed Marks'!L90/'Detailed Marks'!$L$3*'Final Marks'!$G$24</f>
        <v>22.6</v>
      </c>
      <c r="H111" s="50">
        <f t="shared" ref="H111:H121" si="45">I111*H$24/I$24</f>
        <v>45.25</v>
      </c>
      <c r="I111" s="6">
        <f>'Detailed Marks'!M90</f>
        <v>45.25</v>
      </c>
      <c r="J111" s="6">
        <f t="shared" ref="J111:J121" si="46">IF(I111/$I$24&gt;=75,1,"")</f>
        <v>1</v>
      </c>
      <c r="K111" s="16">
        <f t="shared" si="35"/>
        <v>0</v>
      </c>
      <c r="L111" s="16">
        <f t="shared" si="35"/>
        <v>0</v>
      </c>
      <c r="M111" s="16">
        <f t="shared" si="35"/>
        <v>0</v>
      </c>
      <c r="N111" s="16">
        <f t="shared" si="35"/>
        <v>1</v>
      </c>
      <c r="O111" s="16">
        <f t="shared" si="35"/>
        <v>0</v>
      </c>
      <c r="P111" s="16">
        <f t="shared" si="35"/>
        <v>0</v>
      </c>
      <c r="Q111" s="16">
        <f t="shared" si="35"/>
        <v>0</v>
      </c>
      <c r="R111" s="16">
        <f t="shared" si="35"/>
        <v>0</v>
      </c>
      <c r="S111" s="16">
        <f t="shared" si="35"/>
        <v>0</v>
      </c>
      <c r="T111" s="16">
        <f t="shared" si="35"/>
        <v>0</v>
      </c>
      <c r="U111" s="16">
        <f t="shared" si="7"/>
        <v>0</v>
      </c>
      <c r="V111" s="16">
        <f t="shared" si="8"/>
        <v>0</v>
      </c>
      <c r="W111" s="16">
        <f t="shared" si="8"/>
        <v>0</v>
      </c>
      <c r="Y111" s="51">
        <f t="shared" ref="Y111:Y121" si="47">F111</f>
        <v>67.849999999999994</v>
      </c>
      <c r="AA111" s="44">
        <f t="shared" ref="AA111:AA121" si="48">+IF(OR(A111="",A111="N"),0,
IF(A111="U",
IF(OR(AC111="I-we",AC111="I-ca",AC111="F"),"**I",
IF(Y111&gt;=R$23,"C",
IF(Y111&gt;=S$23,"C-","**D"))),
IF(A111="PF",
IF(OR(AC111="I-we",AC111="I-ca",AC111="F"),AC111,
IF(Y111&gt;=R$23,"C",
IF(Y111&gt;=S$23,"C-","**D"))),
IF(A111="PI-ca",IF(AC111="I-we","DATA",IF(AC111="I-ca",AC111,
IF(Y111&gt;=R$23,"C",
IF(Y111&gt;=S$23,"C-",IF(Y111&gt;=T$23,"D","DATA"))))),IF(A111="PI-we",
IF(AC111="I-ca","DATA",IF(AC111="I-we",AC111,IF(Y111&gt;=R$23,"C",
IF(Y111&gt;=S$23,"C-",IF(Y111&gt;=T$23,"D","DATA"))))
)))
)))</f>
        <v>0</v>
      </c>
      <c r="AC111" s="16" t="str">
        <f t="shared" ref="AC111:AC121" si="49">IF(AND(H111&gt;=$D$15*$H$24,G111&gt;=$D$15*$G$24),IF(F111&gt;=$O$23,IF(F111&gt;=$K$23,"A+",IF(F111&gt;=$L$23,"A",IF(F111&gt;=$M$23,"A-",IF(F111&gt;=$N$23,"B+","B")))),IF(F111&lt;$T$23,"I",IF(F111&lt;$S$23,"D",IF(F111&lt;$R$23,"C-",IF(F111&lt;$Q$23,"C",IF(F111&lt;$P$23,"C+",IF(F111&lt;$O$23,"B-","B"))))))),IF(AND(H111&lt;$D$15*$H$24,G111&lt;$D$15*$G$24),"F",IF(H111&lt;$D$15*$H$24,"I-ca","I-we")))</f>
        <v>B+</v>
      </c>
    </row>
    <row r="112" spans="1:29" ht="18" customHeight="1" x14ac:dyDescent="0.3">
      <c r="A112" s="47" t="s">
        <v>72</v>
      </c>
      <c r="B112" s="48" t="str">
        <f>'Detailed Marks'!A91</f>
        <v>210608J</v>
      </c>
      <c r="C112" s="48" t="str">
        <f>'Detailed Marks'!B91</f>
        <v>SILVA L.J.J.P.</v>
      </c>
      <c r="D112" s="49"/>
      <c r="E112" s="6" t="str">
        <f t="shared" si="43"/>
        <v>A+</v>
      </c>
      <c r="F112" s="68">
        <f t="shared" si="44"/>
        <v>85.789999999999992</v>
      </c>
      <c r="G112" s="50">
        <f>'Detailed Marks'!L91/'Detailed Marks'!$L$3*'Final Marks'!$G$24</f>
        <v>30</v>
      </c>
      <c r="H112" s="50">
        <f t="shared" si="45"/>
        <v>55.79</v>
      </c>
      <c r="I112" s="6">
        <f>'Detailed Marks'!M91</f>
        <v>55.79</v>
      </c>
      <c r="J112" s="6">
        <f t="shared" si="46"/>
        <v>1</v>
      </c>
      <c r="K112" s="16">
        <f t="shared" si="35"/>
        <v>1</v>
      </c>
      <c r="L112" s="16">
        <f t="shared" si="35"/>
        <v>0</v>
      </c>
      <c r="M112" s="16">
        <f t="shared" si="35"/>
        <v>0</v>
      </c>
      <c r="N112" s="16">
        <f t="shared" si="35"/>
        <v>0</v>
      </c>
      <c r="O112" s="16">
        <f t="shared" si="35"/>
        <v>0</v>
      </c>
      <c r="P112" s="16">
        <f t="shared" si="35"/>
        <v>0</v>
      </c>
      <c r="Q112" s="16">
        <f t="shared" si="35"/>
        <v>0</v>
      </c>
      <c r="R112" s="16">
        <f t="shared" si="35"/>
        <v>0</v>
      </c>
      <c r="S112" s="16">
        <f t="shared" si="35"/>
        <v>0</v>
      </c>
      <c r="T112" s="16">
        <f t="shared" si="35"/>
        <v>0</v>
      </c>
      <c r="U112" s="16">
        <f t="shared" ref="U112:U125" si="50">IF($D112="",IF(LEFT($E112,1)=U$24,1,0),IF(LEFT($D112,1)=U$24,1,0))</f>
        <v>0</v>
      </c>
      <c r="V112" s="16">
        <f t="shared" ref="V112:W125" si="51">IF($D112="",IF($E112=V$24,1,0),IF($D112=V$24,1,0))</f>
        <v>0</v>
      </c>
      <c r="W112" s="16">
        <f t="shared" si="51"/>
        <v>0</v>
      </c>
      <c r="Y112" s="51">
        <f t="shared" si="47"/>
        <v>85.789999999999992</v>
      </c>
      <c r="AA112" s="44">
        <f t="shared" si="48"/>
        <v>0</v>
      </c>
      <c r="AC112" s="16" t="str">
        <f t="shared" si="49"/>
        <v>A+</v>
      </c>
    </row>
    <row r="113" spans="1:29" ht="18" customHeight="1" x14ac:dyDescent="0.3">
      <c r="A113" s="47" t="s">
        <v>72</v>
      </c>
      <c r="B113" s="48" t="str">
        <f>'Detailed Marks'!A92</f>
        <v>210610H</v>
      </c>
      <c r="C113" s="48" t="str">
        <f>'Detailed Marks'!B92</f>
        <v>SIRIMANNA N.T.W.</v>
      </c>
      <c r="D113" s="49"/>
      <c r="E113" s="6" t="str">
        <f t="shared" si="43"/>
        <v>A</v>
      </c>
      <c r="F113" s="68">
        <f t="shared" si="44"/>
        <v>77.86</v>
      </c>
      <c r="G113" s="50">
        <f>'Detailed Marks'!L92/'Detailed Marks'!$L$3*'Final Marks'!$G$24</f>
        <v>27.400000000000002</v>
      </c>
      <c r="H113" s="50">
        <f t="shared" si="45"/>
        <v>50.46</v>
      </c>
      <c r="I113" s="6">
        <f>'Detailed Marks'!M92</f>
        <v>50.46</v>
      </c>
      <c r="J113" s="6">
        <f t="shared" si="46"/>
        <v>1</v>
      </c>
      <c r="K113" s="16">
        <f t="shared" si="35"/>
        <v>0</v>
      </c>
      <c r="L113" s="16">
        <f t="shared" si="35"/>
        <v>1</v>
      </c>
      <c r="M113" s="16">
        <f t="shared" si="35"/>
        <v>0</v>
      </c>
      <c r="N113" s="16">
        <f t="shared" si="35"/>
        <v>0</v>
      </c>
      <c r="O113" s="16">
        <f t="shared" si="35"/>
        <v>0</v>
      </c>
      <c r="P113" s="16">
        <f t="shared" si="35"/>
        <v>0</v>
      </c>
      <c r="Q113" s="16">
        <f t="shared" si="35"/>
        <v>0</v>
      </c>
      <c r="R113" s="16">
        <f t="shared" si="35"/>
        <v>0</v>
      </c>
      <c r="S113" s="16">
        <f t="shared" si="35"/>
        <v>0</v>
      </c>
      <c r="T113" s="16">
        <f t="shared" si="35"/>
        <v>0</v>
      </c>
      <c r="U113" s="16">
        <f t="shared" si="50"/>
        <v>0</v>
      </c>
      <c r="V113" s="16">
        <f t="shared" si="51"/>
        <v>0</v>
      </c>
      <c r="W113" s="16">
        <f t="shared" si="51"/>
        <v>0</v>
      </c>
      <c r="Y113" s="51">
        <f t="shared" si="47"/>
        <v>77.86</v>
      </c>
      <c r="AA113" s="44">
        <f t="shared" si="48"/>
        <v>0</v>
      </c>
      <c r="AC113" s="16" t="str">
        <f t="shared" si="49"/>
        <v>A</v>
      </c>
    </row>
    <row r="114" spans="1:29" ht="18" customHeight="1" x14ac:dyDescent="0.3">
      <c r="A114" s="47" t="s">
        <v>72</v>
      </c>
      <c r="B114" s="48" t="str">
        <f>'Detailed Marks'!A93</f>
        <v>210612P</v>
      </c>
      <c r="C114" s="48" t="str">
        <f>'Detailed Marks'!B93</f>
        <v>SIRIWARDANE C.</v>
      </c>
      <c r="D114" s="49"/>
      <c r="E114" s="6" t="str">
        <f t="shared" si="43"/>
        <v>A-</v>
      </c>
      <c r="F114" s="68">
        <f t="shared" si="44"/>
        <v>71.09</v>
      </c>
      <c r="G114" s="50">
        <f>'Detailed Marks'!L93/'Detailed Marks'!$L$3*'Final Marks'!$G$24</f>
        <v>24.8</v>
      </c>
      <c r="H114" s="50">
        <f t="shared" si="45"/>
        <v>46.29</v>
      </c>
      <c r="I114" s="6">
        <f>'Detailed Marks'!M93</f>
        <v>46.29</v>
      </c>
      <c r="J114" s="6">
        <f t="shared" si="46"/>
        <v>1</v>
      </c>
      <c r="K114" s="16">
        <f t="shared" ref="K114:T125" si="52">IF($D114="",IF($E114=K$24,1,0),IF($D114=K$24,1,0))</f>
        <v>0</v>
      </c>
      <c r="L114" s="16">
        <f t="shared" si="52"/>
        <v>0</v>
      </c>
      <c r="M114" s="16">
        <f t="shared" si="52"/>
        <v>1</v>
      </c>
      <c r="N114" s="16">
        <f t="shared" si="52"/>
        <v>0</v>
      </c>
      <c r="O114" s="16">
        <f t="shared" si="52"/>
        <v>0</v>
      </c>
      <c r="P114" s="16">
        <f t="shared" si="52"/>
        <v>0</v>
      </c>
      <c r="Q114" s="16">
        <f t="shared" si="52"/>
        <v>0</v>
      </c>
      <c r="R114" s="16">
        <f t="shared" si="52"/>
        <v>0</v>
      </c>
      <c r="S114" s="16">
        <f t="shared" si="52"/>
        <v>0</v>
      </c>
      <c r="T114" s="16">
        <f t="shared" si="52"/>
        <v>0</v>
      </c>
      <c r="U114" s="16">
        <f t="shared" si="50"/>
        <v>0</v>
      </c>
      <c r="V114" s="16">
        <f t="shared" si="51"/>
        <v>0</v>
      </c>
      <c r="W114" s="16">
        <f t="shared" si="51"/>
        <v>0</v>
      </c>
      <c r="Y114" s="51">
        <f t="shared" si="47"/>
        <v>71.09</v>
      </c>
      <c r="AA114" s="44">
        <f t="shared" si="48"/>
        <v>0</v>
      </c>
      <c r="AC114" s="16" t="str">
        <f t="shared" si="49"/>
        <v>A-</v>
      </c>
    </row>
    <row r="115" spans="1:29" ht="18" customHeight="1" x14ac:dyDescent="0.3">
      <c r="A115" s="47" t="s">
        <v>72</v>
      </c>
      <c r="B115" s="48" t="str">
        <f>'Detailed Marks'!A94</f>
        <v>210624E</v>
      </c>
      <c r="C115" s="48" t="str">
        <f>'Detailed Marks'!B94</f>
        <v>SUNDARBAVAN T.</v>
      </c>
      <c r="D115" s="49"/>
      <c r="E115" s="6" t="str">
        <f t="shared" si="43"/>
        <v>A</v>
      </c>
      <c r="F115" s="68">
        <f t="shared" si="44"/>
        <v>77.180000000000007</v>
      </c>
      <c r="G115" s="50">
        <f>'Detailed Marks'!L94/'Detailed Marks'!$L$3*'Final Marks'!$G$24</f>
        <v>26.6</v>
      </c>
      <c r="H115" s="50">
        <f t="shared" si="45"/>
        <v>50.58</v>
      </c>
      <c r="I115" s="6">
        <f>'Detailed Marks'!M94</f>
        <v>50.58</v>
      </c>
      <c r="J115" s="6">
        <f t="shared" si="46"/>
        <v>1</v>
      </c>
      <c r="K115" s="16">
        <f t="shared" si="52"/>
        <v>0</v>
      </c>
      <c r="L115" s="16">
        <f t="shared" si="52"/>
        <v>1</v>
      </c>
      <c r="M115" s="16">
        <f t="shared" si="52"/>
        <v>0</v>
      </c>
      <c r="N115" s="16">
        <f t="shared" si="52"/>
        <v>0</v>
      </c>
      <c r="O115" s="16">
        <f t="shared" si="52"/>
        <v>0</v>
      </c>
      <c r="P115" s="16">
        <f t="shared" si="52"/>
        <v>0</v>
      </c>
      <c r="Q115" s="16">
        <f t="shared" si="52"/>
        <v>0</v>
      </c>
      <c r="R115" s="16">
        <f t="shared" si="52"/>
        <v>0</v>
      </c>
      <c r="S115" s="16">
        <f t="shared" si="52"/>
        <v>0</v>
      </c>
      <c r="T115" s="16">
        <f t="shared" si="52"/>
        <v>0</v>
      </c>
      <c r="U115" s="16">
        <f t="shared" si="50"/>
        <v>0</v>
      </c>
      <c r="V115" s="16">
        <f t="shared" si="51"/>
        <v>0</v>
      </c>
      <c r="W115" s="16">
        <f t="shared" si="51"/>
        <v>0</v>
      </c>
      <c r="Y115" s="51">
        <f t="shared" si="47"/>
        <v>77.180000000000007</v>
      </c>
      <c r="AA115" s="44">
        <f t="shared" si="48"/>
        <v>0</v>
      </c>
      <c r="AC115" s="16" t="str">
        <f t="shared" si="49"/>
        <v>A</v>
      </c>
    </row>
    <row r="116" spans="1:29" ht="18" customHeight="1" x14ac:dyDescent="0.3">
      <c r="A116" s="47" t="s">
        <v>72</v>
      </c>
      <c r="B116" s="48" t="str">
        <f>'Detailed Marks'!A95</f>
        <v>210625H</v>
      </c>
      <c r="C116" s="48" t="str">
        <f>'Detailed Marks'!B95</f>
        <v>SURENDRA S.A.J.E.</v>
      </c>
      <c r="D116" s="49"/>
      <c r="E116" s="6" t="str">
        <f t="shared" si="43"/>
        <v>A+</v>
      </c>
      <c r="F116" s="68">
        <f t="shared" si="44"/>
        <v>89.1</v>
      </c>
      <c r="G116" s="50">
        <f>'Detailed Marks'!L95/'Detailed Marks'!$L$3*'Final Marks'!$G$24</f>
        <v>31.6</v>
      </c>
      <c r="H116" s="50">
        <f t="shared" si="45"/>
        <v>57.5</v>
      </c>
      <c r="I116" s="6">
        <f>'Detailed Marks'!M95</f>
        <v>57.5</v>
      </c>
      <c r="J116" s="6">
        <f t="shared" si="46"/>
        <v>1</v>
      </c>
      <c r="K116" s="16">
        <f t="shared" si="52"/>
        <v>1</v>
      </c>
      <c r="L116" s="16">
        <f t="shared" si="52"/>
        <v>0</v>
      </c>
      <c r="M116" s="16">
        <f t="shared" si="52"/>
        <v>0</v>
      </c>
      <c r="N116" s="16">
        <f t="shared" si="52"/>
        <v>0</v>
      </c>
      <c r="O116" s="16">
        <f t="shared" si="52"/>
        <v>0</v>
      </c>
      <c r="P116" s="16">
        <f t="shared" si="52"/>
        <v>0</v>
      </c>
      <c r="Q116" s="16">
        <f t="shared" si="52"/>
        <v>0</v>
      </c>
      <c r="R116" s="16">
        <f t="shared" si="52"/>
        <v>0</v>
      </c>
      <c r="S116" s="16">
        <f t="shared" si="52"/>
        <v>0</v>
      </c>
      <c r="T116" s="16">
        <f t="shared" si="52"/>
        <v>0</v>
      </c>
      <c r="U116" s="16">
        <f t="shared" si="50"/>
        <v>0</v>
      </c>
      <c r="V116" s="16">
        <f t="shared" si="51"/>
        <v>0</v>
      </c>
      <c r="W116" s="16">
        <f t="shared" si="51"/>
        <v>0</v>
      </c>
      <c r="Y116" s="51">
        <f t="shared" si="47"/>
        <v>89.1</v>
      </c>
      <c r="AA116" s="44">
        <f t="shared" si="48"/>
        <v>0</v>
      </c>
      <c r="AC116" s="16" t="str">
        <f t="shared" si="49"/>
        <v>A+</v>
      </c>
    </row>
    <row r="117" spans="1:29" ht="18" customHeight="1" x14ac:dyDescent="0.3">
      <c r="A117" s="47" t="s">
        <v>72</v>
      </c>
      <c r="B117" s="48" t="str">
        <f>'Detailed Marks'!A96</f>
        <v>210629A</v>
      </c>
      <c r="C117" s="48" t="str">
        <f>'Detailed Marks'!B96</f>
        <v>THAMIRAWARAN S.</v>
      </c>
      <c r="D117" s="49"/>
      <c r="E117" s="6" t="str">
        <f t="shared" si="43"/>
        <v>B</v>
      </c>
      <c r="F117" s="68">
        <f t="shared" si="44"/>
        <v>63.27</v>
      </c>
      <c r="G117" s="50">
        <f>'Detailed Marks'!L96/'Detailed Marks'!$L$3*'Final Marks'!$G$24</f>
        <v>17.600000000000001</v>
      </c>
      <c r="H117" s="50">
        <f t="shared" si="45"/>
        <v>45.67</v>
      </c>
      <c r="I117" s="6">
        <f>'Detailed Marks'!M96</f>
        <v>45.67</v>
      </c>
      <c r="J117" s="6">
        <f t="shared" si="46"/>
        <v>1</v>
      </c>
      <c r="K117" s="16">
        <f t="shared" si="52"/>
        <v>0</v>
      </c>
      <c r="L117" s="16">
        <f t="shared" si="52"/>
        <v>0</v>
      </c>
      <c r="M117" s="16">
        <f t="shared" si="52"/>
        <v>0</v>
      </c>
      <c r="N117" s="16">
        <f t="shared" si="52"/>
        <v>0</v>
      </c>
      <c r="O117" s="16">
        <f t="shared" si="52"/>
        <v>1</v>
      </c>
      <c r="P117" s="16">
        <f t="shared" si="52"/>
        <v>0</v>
      </c>
      <c r="Q117" s="16">
        <f t="shared" si="52"/>
        <v>0</v>
      </c>
      <c r="R117" s="16">
        <f t="shared" si="52"/>
        <v>0</v>
      </c>
      <c r="S117" s="16">
        <f t="shared" si="52"/>
        <v>0</v>
      </c>
      <c r="T117" s="16">
        <f t="shared" si="52"/>
        <v>0</v>
      </c>
      <c r="U117" s="16">
        <f t="shared" si="50"/>
        <v>0</v>
      </c>
      <c r="V117" s="16">
        <f t="shared" si="51"/>
        <v>0</v>
      </c>
      <c r="W117" s="16">
        <f t="shared" si="51"/>
        <v>0</v>
      </c>
      <c r="Y117" s="51">
        <f t="shared" si="47"/>
        <v>63.27</v>
      </c>
      <c r="AA117" s="44">
        <f t="shared" si="48"/>
        <v>0</v>
      </c>
      <c r="AC117" s="16" t="str">
        <f t="shared" si="49"/>
        <v>B</v>
      </c>
    </row>
    <row r="118" spans="1:29" ht="18" customHeight="1" x14ac:dyDescent="0.3">
      <c r="A118" s="47" t="s">
        <v>72</v>
      </c>
      <c r="B118" s="48" t="str">
        <f>'Detailed Marks'!A97</f>
        <v>210642G</v>
      </c>
      <c r="C118" s="48" t="str">
        <f>'Detailed Marks'!B97</f>
        <v>THENNAKOON T.M.K.R.</v>
      </c>
      <c r="D118" s="49"/>
      <c r="E118" s="6" t="str">
        <f t="shared" si="43"/>
        <v>A-</v>
      </c>
      <c r="F118" s="68">
        <f t="shared" si="44"/>
        <v>73.930000000000007</v>
      </c>
      <c r="G118" s="50">
        <f>'Detailed Marks'!L97/'Detailed Marks'!$L$3*'Final Marks'!$G$24</f>
        <v>23.8</v>
      </c>
      <c r="H118" s="50">
        <f t="shared" si="45"/>
        <v>50.13</v>
      </c>
      <c r="I118" s="6">
        <f>'Detailed Marks'!M97</f>
        <v>50.13</v>
      </c>
      <c r="J118" s="6">
        <f t="shared" si="46"/>
        <v>1</v>
      </c>
      <c r="K118" s="16">
        <f t="shared" si="52"/>
        <v>0</v>
      </c>
      <c r="L118" s="16">
        <f t="shared" si="52"/>
        <v>0</v>
      </c>
      <c r="M118" s="16">
        <f t="shared" si="52"/>
        <v>1</v>
      </c>
      <c r="N118" s="16">
        <f t="shared" si="52"/>
        <v>0</v>
      </c>
      <c r="O118" s="16">
        <f t="shared" si="52"/>
        <v>0</v>
      </c>
      <c r="P118" s="16">
        <f t="shared" si="52"/>
        <v>0</v>
      </c>
      <c r="Q118" s="16">
        <f t="shared" si="52"/>
        <v>0</v>
      </c>
      <c r="R118" s="16">
        <f t="shared" si="52"/>
        <v>0</v>
      </c>
      <c r="S118" s="16">
        <f t="shared" si="52"/>
        <v>0</v>
      </c>
      <c r="T118" s="16">
        <f t="shared" si="52"/>
        <v>0</v>
      </c>
      <c r="U118" s="16">
        <f t="shared" si="50"/>
        <v>0</v>
      </c>
      <c r="V118" s="16">
        <f t="shared" si="51"/>
        <v>0</v>
      </c>
      <c r="W118" s="16">
        <f t="shared" si="51"/>
        <v>0</v>
      </c>
      <c r="Y118" s="51">
        <f t="shared" si="47"/>
        <v>73.930000000000007</v>
      </c>
      <c r="AA118" s="44">
        <f t="shared" si="48"/>
        <v>0</v>
      </c>
      <c r="AC118" s="16" t="str">
        <f t="shared" si="49"/>
        <v>A-</v>
      </c>
    </row>
    <row r="119" spans="1:29" ht="18" customHeight="1" x14ac:dyDescent="0.3">
      <c r="A119" s="47" t="s">
        <v>72</v>
      </c>
      <c r="B119" s="48" t="str">
        <f>'Detailed Marks'!A98</f>
        <v>210668P</v>
      </c>
      <c r="C119" s="48" t="str">
        <f>'Detailed Marks'!B98</f>
        <v>VIDMAL H.V.P.</v>
      </c>
      <c r="D119" s="49"/>
      <c r="E119" s="6" t="str">
        <f t="shared" si="43"/>
        <v>A</v>
      </c>
      <c r="F119" s="68">
        <f t="shared" si="44"/>
        <v>81.150000000000006</v>
      </c>
      <c r="G119" s="50">
        <f>'Detailed Marks'!L98/'Detailed Marks'!$L$3*'Final Marks'!$G$24</f>
        <v>27.400000000000002</v>
      </c>
      <c r="H119" s="50">
        <f t="shared" si="45"/>
        <v>53.75</v>
      </c>
      <c r="I119" s="6">
        <f>'Detailed Marks'!M98</f>
        <v>53.75</v>
      </c>
      <c r="J119" s="6">
        <f t="shared" si="46"/>
        <v>1</v>
      </c>
      <c r="K119" s="16">
        <f t="shared" si="52"/>
        <v>0</v>
      </c>
      <c r="L119" s="16">
        <f t="shared" si="52"/>
        <v>1</v>
      </c>
      <c r="M119" s="16">
        <f t="shared" si="52"/>
        <v>0</v>
      </c>
      <c r="N119" s="16">
        <f t="shared" si="52"/>
        <v>0</v>
      </c>
      <c r="O119" s="16">
        <f t="shared" si="52"/>
        <v>0</v>
      </c>
      <c r="P119" s="16">
        <f t="shared" si="52"/>
        <v>0</v>
      </c>
      <c r="Q119" s="16">
        <f t="shared" si="52"/>
        <v>0</v>
      </c>
      <c r="R119" s="16">
        <f t="shared" si="52"/>
        <v>0</v>
      </c>
      <c r="S119" s="16">
        <f t="shared" si="52"/>
        <v>0</v>
      </c>
      <c r="T119" s="16">
        <f t="shared" si="52"/>
        <v>0</v>
      </c>
      <c r="U119" s="16">
        <f t="shared" si="50"/>
        <v>0</v>
      </c>
      <c r="V119" s="16">
        <f t="shared" si="51"/>
        <v>0</v>
      </c>
      <c r="W119" s="16">
        <f t="shared" si="51"/>
        <v>0</v>
      </c>
      <c r="Y119" s="51">
        <f t="shared" si="47"/>
        <v>81.150000000000006</v>
      </c>
      <c r="AA119" s="44">
        <f t="shared" si="48"/>
        <v>0</v>
      </c>
      <c r="AC119" s="16" t="str">
        <f t="shared" si="49"/>
        <v>A</v>
      </c>
    </row>
    <row r="120" spans="1:29" ht="18" customHeight="1" x14ac:dyDescent="0.3">
      <c r="A120" s="47" t="s">
        <v>72</v>
      </c>
      <c r="B120" s="48" t="str">
        <f>'Detailed Marks'!A99</f>
        <v>210679B</v>
      </c>
      <c r="C120" s="48" t="str">
        <f>'Detailed Marks'!B99</f>
        <v>WANNIARACHCHI W.A.D.N.M.</v>
      </c>
      <c r="D120" s="49"/>
      <c r="E120" s="6" t="str">
        <f t="shared" si="43"/>
        <v>A</v>
      </c>
      <c r="F120" s="68">
        <f t="shared" si="44"/>
        <v>74.53</v>
      </c>
      <c r="G120" s="50">
        <f>'Detailed Marks'!L99/'Detailed Marks'!$L$3*'Final Marks'!$G$24</f>
        <v>21.240000000000002</v>
      </c>
      <c r="H120" s="50">
        <f t="shared" si="45"/>
        <v>53.29</v>
      </c>
      <c r="I120" s="6">
        <f>'Detailed Marks'!M99</f>
        <v>53.29</v>
      </c>
      <c r="J120" s="6">
        <f t="shared" si="46"/>
        <v>1</v>
      </c>
      <c r="K120" s="16">
        <f t="shared" si="52"/>
        <v>0</v>
      </c>
      <c r="L120" s="16">
        <f t="shared" si="52"/>
        <v>1</v>
      </c>
      <c r="M120" s="16">
        <f t="shared" si="52"/>
        <v>0</v>
      </c>
      <c r="N120" s="16">
        <f t="shared" si="52"/>
        <v>0</v>
      </c>
      <c r="O120" s="16">
        <f t="shared" si="52"/>
        <v>0</v>
      </c>
      <c r="P120" s="16">
        <f t="shared" si="52"/>
        <v>0</v>
      </c>
      <c r="Q120" s="16">
        <f t="shared" si="52"/>
        <v>0</v>
      </c>
      <c r="R120" s="16">
        <f t="shared" si="52"/>
        <v>0</v>
      </c>
      <c r="S120" s="16">
        <f t="shared" si="52"/>
        <v>0</v>
      </c>
      <c r="T120" s="16">
        <f t="shared" si="52"/>
        <v>0</v>
      </c>
      <c r="U120" s="16">
        <f t="shared" si="50"/>
        <v>0</v>
      </c>
      <c r="V120" s="16">
        <f t="shared" si="51"/>
        <v>0</v>
      </c>
      <c r="W120" s="16">
        <f t="shared" si="51"/>
        <v>0</v>
      </c>
      <c r="Y120" s="51">
        <f t="shared" si="47"/>
        <v>74.53</v>
      </c>
      <c r="AA120" s="44">
        <f t="shared" si="48"/>
        <v>0</v>
      </c>
      <c r="AC120" s="16" t="str">
        <f t="shared" si="49"/>
        <v>A</v>
      </c>
    </row>
    <row r="121" spans="1:29" ht="18" customHeight="1" x14ac:dyDescent="0.3">
      <c r="A121" s="47" t="s">
        <v>72</v>
      </c>
      <c r="B121" s="48" t="str">
        <f>'Detailed Marks'!A100</f>
        <v>210699K</v>
      </c>
      <c r="C121" s="48" t="str">
        <f>'Detailed Marks'!B100</f>
        <v>WICKRAMAARACHCHI W.C.A.</v>
      </c>
      <c r="D121" s="49"/>
      <c r="E121" s="6" t="str">
        <f t="shared" si="43"/>
        <v>B+</v>
      </c>
      <c r="F121" s="68">
        <f t="shared" si="44"/>
        <v>66.330000000000013</v>
      </c>
      <c r="G121" s="50">
        <f>'Detailed Marks'!L100/'Detailed Marks'!$L$3*'Final Marks'!$G$24</f>
        <v>19.200000000000003</v>
      </c>
      <c r="H121" s="50">
        <f t="shared" si="45"/>
        <v>47.13</v>
      </c>
      <c r="I121" s="6">
        <f>'Detailed Marks'!M100</f>
        <v>47.13</v>
      </c>
      <c r="J121" s="6">
        <f t="shared" si="46"/>
        <v>1</v>
      </c>
      <c r="K121" s="16">
        <f t="shared" si="52"/>
        <v>0</v>
      </c>
      <c r="L121" s="16">
        <f t="shared" si="52"/>
        <v>0</v>
      </c>
      <c r="M121" s="16">
        <f t="shared" si="52"/>
        <v>0</v>
      </c>
      <c r="N121" s="16">
        <f t="shared" si="52"/>
        <v>1</v>
      </c>
      <c r="O121" s="16">
        <f t="shared" si="52"/>
        <v>0</v>
      </c>
      <c r="P121" s="16">
        <f t="shared" si="52"/>
        <v>0</v>
      </c>
      <c r="Q121" s="16">
        <f t="shared" si="52"/>
        <v>0</v>
      </c>
      <c r="R121" s="16">
        <f t="shared" si="52"/>
        <v>0</v>
      </c>
      <c r="S121" s="16">
        <f t="shared" si="52"/>
        <v>0</v>
      </c>
      <c r="T121" s="16">
        <f t="shared" si="52"/>
        <v>0</v>
      </c>
      <c r="U121" s="16">
        <f t="shared" si="50"/>
        <v>0</v>
      </c>
      <c r="V121" s="16">
        <f t="shared" si="51"/>
        <v>0</v>
      </c>
      <c r="W121" s="16">
        <f t="shared" si="51"/>
        <v>0</v>
      </c>
      <c r="Y121" s="51">
        <f t="shared" si="47"/>
        <v>66.330000000000013</v>
      </c>
      <c r="AA121" s="44">
        <f t="shared" si="48"/>
        <v>0</v>
      </c>
      <c r="AC121" s="16" t="str">
        <f t="shared" si="49"/>
        <v>B+</v>
      </c>
    </row>
    <row r="122" spans="1:29" ht="18" customHeight="1" x14ac:dyDescent="0.3">
      <c r="A122" s="47" t="s">
        <v>72</v>
      </c>
      <c r="B122" s="48" t="str">
        <f>'Detailed Marks'!A101</f>
        <v>210703V</v>
      </c>
      <c r="C122" s="48" t="str">
        <f>'Detailed Marks'!B101</f>
        <v>WICKRAMARATHNE M.P.</v>
      </c>
      <c r="D122" s="49"/>
      <c r="E122" s="6" t="str">
        <f t="shared" ref="E122:E125" si="53">+IF(AND(C122="",B122=""),"",IF(AA122=0,AC122,AA122))</f>
        <v>A</v>
      </c>
      <c r="F122" s="68">
        <f t="shared" ref="F122:F125" si="54">G122+H122</f>
        <v>80.490000000000009</v>
      </c>
      <c r="G122" s="50">
        <f>'Detailed Marks'!L101/'Detailed Marks'!$L$3*'Final Marks'!$G$24</f>
        <v>25.200000000000003</v>
      </c>
      <c r="H122" s="50">
        <f t="shared" ref="H122:H125" si="55">I122*H$24/I$24</f>
        <v>55.29</v>
      </c>
      <c r="I122" s="6">
        <f>'Detailed Marks'!M101</f>
        <v>55.29</v>
      </c>
      <c r="J122" s="6">
        <f t="shared" ref="J122:J125" si="56">IF(I122/$I$24&gt;=75,1,"")</f>
        <v>1</v>
      </c>
      <c r="K122" s="16">
        <f t="shared" si="52"/>
        <v>0</v>
      </c>
      <c r="L122" s="16">
        <f t="shared" si="52"/>
        <v>1</v>
      </c>
      <c r="M122" s="16">
        <f t="shared" si="52"/>
        <v>0</v>
      </c>
      <c r="N122" s="16">
        <f t="shared" si="52"/>
        <v>0</v>
      </c>
      <c r="O122" s="16">
        <f t="shared" si="52"/>
        <v>0</v>
      </c>
      <c r="P122" s="16">
        <f t="shared" si="52"/>
        <v>0</v>
      </c>
      <c r="Q122" s="16">
        <f t="shared" si="52"/>
        <v>0</v>
      </c>
      <c r="R122" s="16">
        <f t="shared" si="52"/>
        <v>0</v>
      </c>
      <c r="S122" s="16">
        <f t="shared" si="52"/>
        <v>0</v>
      </c>
      <c r="T122" s="16">
        <f t="shared" si="52"/>
        <v>0</v>
      </c>
      <c r="U122" s="16">
        <f t="shared" si="50"/>
        <v>0</v>
      </c>
      <c r="V122" s="16">
        <f t="shared" si="51"/>
        <v>0</v>
      </c>
      <c r="W122" s="16">
        <f t="shared" si="51"/>
        <v>0</v>
      </c>
      <c r="Y122" s="51">
        <f t="shared" ref="Y122:Y125" si="57">F122</f>
        <v>80.490000000000009</v>
      </c>
      <c r="AA122" s="44">
        <f t="shared" ref="AA122:AA125" si="58">+IF(OR(A122="",A122="N"),0,
IF(A122="U",
IF(OR(AC122="I-we",AC122="I-ca",AC122="F"),"**I",
IF(Y122&gt;=R$23,"C",
IF(Y122&gt;=S$23,"C-","**D"))),
IF(A122="PF",
IF(OR(AC122="I-we",AC122="I-ca",AC122="F"),AC122,
IF(Y122&gt;=R$23,"C",
IF(Y122&gt;=S$23,"C-","**D"))),
IF(A122="PI-ca",IF(AC122="I-we","DATA",IF(AC122="I-ca",AC122,
IF(Y122&gt;=R$23,"C",
IF(Y122&gt;=S$23,"C-",IF(Y122&gt;=T$23,"D","DATA"))))),IF(A122="PI-we",
IF(AC122="I-ca","DATA",IF(AC122="I-we",AC122,IF(Y122&gt;=R$23,"C",
IF(Y122&gt;=S$23,"C-",IF(Y122&gt;=T$23,"D","DATA"))))
)))
)))</f>
        <v>0</v>
      </c>
      <c r="AC122" s="16" t="str">
        <f t="shared" ref="AC122:AC125" si="59">IF(AND(H122&gt;=$D$15*$H$24,G122&gt;=$D$15*$G$24),IF(F122&gt;=$O$23,IF(F122&gt;=$K$23,"A+",IF(F122&gt;=$L$23,"A",IF(F122&gt;=$M$23,"A-",IF(F122&gt;=$N$23,"B+","B")))),IF(F122&lt;$T$23,"I",IF(F122&lt;$S$23,"D",IF(F122&lt;$R$23,"C-",IF(F122&lt;$Q$23,"C",IF(F122&lt;$P$23,"C+",IF(F122&lt;$O$23,"B-","B"))))))),IF(AND(H122&lt;$D$15*$H$24,G122&lt;$D$15*$G$24),"F",IF(H122&lt;$D$15*$H$24,"I-ca","I-we")))</f>
        <v>A</v>
      </c>
    </row>
    <row r="123" spans="1:29" ht="18" customHeight="1" x14ac:dyDescent="0.3">
      <c r="A123" s="47" t="s">
        <v>72</v>
      </c>
      <c r="B123" s="48" t="str">
        <f>'Detailed Marks'!A102</f>
        <v>210705E</v>
      </c>
      <c r="C123" s="48" t="str">
        <f>'Detailed Marks'!B102</f>
        <v>WICKRAMASINGHA M.P.D.N.</v>
      </c>
      <c r="D123" s="49"/>
      <c r="E123" s="6" t="str">
        <f t="shared" si="53"/>
        <v>A-</v>
      </c>
      <c r="F123" s="68">
        <f t="shared" si="54"/>
        <v>72.430000000000007</v>
      </c>
      <c r="G123" s="50">
        <f>'Detailed Marks'!L102/'Detailed Marks'!$L$3*'Final Marks'!$G$24</f>
        <v>21.6</v>
      </c>
      <c r="H123" s="50">
        <f t="shared" si="55"/>
        <v>50.83</v>
      </c>
      <c r="I123" s="6">
        <f>'Detailed Marks'!M102</f>
        <v>50.83</v>
      </c>
      <c r="J123" s="6">
        <f t="shared" si="56"/>
        <v>1</v>
      </c>
      <c r="K123" s="16">
        <f t="shared" si="52"/>
        <v>0</v>
      </c>
      <c r="L123" s="16">
        <f t="shared" si="52"/>
        <v>0</v>
      </c>
      <c r="M123" s="16">
        <f t="shared" si="52"/>
        <v>1</v>
      </c>
      <c r="N123" s="16">
        <f t="shared" si="52"/>
        <v>0</v>
      </c>
      <c r="O123" s="16">
        <f t="shared" si="52"/>
        <v>0</v>
      </c>
      <c r="P123" s="16">
        <f t="shared" si="52"/>
        <v>0</v>
      </c>
      <c r="Q123" s="16">
        <f t="shared" si="52"/>
        <v>0</v>
      </c>
      <c r="R123" s="16">
        <f t="shared" si="52"/>
        <v>0</v>
      </c>
      <c r="S123" s="16">
        <f t="shared" si="52"/>
        <v>0</v>
      </c>
      <c r="T123" s="16">
        <f t="shared" si="52"/>
        <v>0</v>
      </c>
      <c r="U123" s="16">
        <f t="shared" si="50"/>
        <v>0</v>
      </c>
      <c r="V123" s="16">
        <f t="shared" si="51"/>
        <v>0</v>
      </c>
      <c r="W123" s="16">
        <f t="shared" si="51"/>
        <v>0</v>
      </c>
      <c r="Y123" s="51">
        <f t="shared" si="57"/>
        <v>72.430000000000007</v>
      </c>
      <c r="AA123" s="44">
        <f t="shared" si="58"/>
        <v>0</v>
      </c>
      <c r="AC123" s="16" t="str">
        <f t="shared" si="59"/>
        <v>A-</v>
      </c>
    </row>
    <row r="124" spans="1:29" ht="18" customHeight="1" x14ac:dyDescent="0.3">
      <c r="A124" s="47" t="s">
        <v>72</v>
      </c>
      <c r="B124" s="48" t="str">
        <f>'Detailed Marks'!A103</f>
        <v>210720U</v>
      </c>
      <c r="C124" s="48" t="str">
        <f>'Detailed Marks'!B103</f>
        <v>WIJESINGHE C.D.</v>
      </c>
      <c r="D124" s="49"/>
      <c r="E124" s="6" t="str">
        <f t="shared" si="53"/>
        <v>A+</v>
      </c>
      <c r="F124" s="68">
        <f t="shared" si="54"/>
        <v>86.63</v>
      </c>
      <c r="G124" s="50">
        <f>'Detailed Marks'!L103/'Detailed Marks'!$L$3*'Final Marks'!$G$24</f>
        <v>32.800000000000004</v>
      </c>
      <c r="H124" s="50">
        <f t="shared" si="55"/>
        <v>53.829999999999991</v>
      </c>
      <c r="I124" s="6">
        <f>'Detailed Marks'!M103</f>
        <v>53.83</v>
      </c>
      <c r="J124" s="6">
        <f t="shared" si="56"/>
        <v>1</v>
      </c>
      <c r="K124" s="16">
        <f t="shared" si="52"/>
        <v>1</v>
      </c>
      <c r="L124" s="16">
        <f t="shared" si="52"/>
        <v>0</v>
      </c>
      <c r="M124" s="16">
        <f t="shared" si="52"/>
        <v>0</v>
      </c>
      <c r="N124" s="16">
        <f t="shared" si="52"/>
        <v>0</v>
      </c>
      <c r="O124" s="16">
        <f t="shared" si="52"/>
        <v>0</v>
      </c>
      <c r="P124" s="16">
        <f t="shared" si="52"/>
        <v>0</v>
      </c>
      <c r="Q124" s="16">
        <f t="shared" si="52"/>
        <v>0</v>
      </c>
      <c r="R124" s="16">
        <f t="shared" si="52"/>
        <v>0</v>
      </c>
      <c r="S124" s="16">
        <f t="shared" si="52"/>
        <v>0</v>
      </c>
      <c r="T124" s="16">
        <f t="shared" si="52"/>
        <v>0</v>
      </c>
      <c r="U124" s="16">
        <f t="shared" si="50"/>
        <v>0</v>
      </c>
      <c r="V124" s="16">
        <f t="shared" si="51"/>
        <v>0</v>
      </c>
      <c r="W124" s="16">
        <f t="shared" si="51"/>
        <v>0</v>
      </c>
      <c r="Y124" s="51">
        <f t="shared" si="57"/>
        <v>86.63</v>
      </c>
      <c r="AA124" s="44">
        <f t="shared" si="58"/>
        <v>0</v>
      </c>
      <c r="AC124" s="16" t="str">
        <f t="shared" si="59"/>
        <v>A+</v>
      </c>
    </row>
    <row r="125" spans="1:29" ht="18" customHeight="1" x14ac:dyDescent="0.3">
      <c r="A125" s="47" t="s">
        <v>72</v>
      </c>
      <c r="B125" s="48" t="str">
        <f>'Detailed Marks'!A104</f>
        <v>210732H</v>
      </c>
      <c r="C125" s="48" t="str">
        <f>'Detailed Marks'!B104</f>
        <v>WITHANAWASAM I.A.</v>
      </c>
      <c r="D125" s="49"/>
      <c r="E125" s="6" t="str">
        <f t="shared" si="53"/>
        <v>A</v>
      </c>
      <c r="F125" s="68">
        <f t="shared" si="54"/>
        <v>77.22999999999999</v>
      </c>
      <c r="G125" s="50">
        <f>'Detailed Marks'!L104/'Detailed Marks'!$L$3*'Final Marks'!$G$24</f>
        <v>23.6</v>
      </c>
      <c r="H125" s="50">
        <f t="shared" si="55"/>
        <v>53.629999999999995</v>
      </c>
      <c r="I125" s="6">
        <f>'Detailed Marks'!M104</f>
        <v>53.63</v>
      </c>
      <c r="J125" s="6">
        <f t="shared" si="56"/>
        <v>1</v>
      </c>
      <c r="K125" s="16">
        <f t="shared" si="52"/>
        <v>0</v>
      </c>
      <c r="L125" s="16">
        <f t="shared" si="52"/>
        <v>1</v>
      </c>
      <c r="M125" s="16">
        <f t="shared" si="52"/>
        <v>0</v>
      </c>
      <c r="N125" s="16">
        <f t="shared" si="52"/>
        <v>0</v>
      </c>
      <c r="O125" s="16">
        <f t="shared" si="52"/>
        <v>0</v>
      </c>
      <c r="P125" s="16">
        <f t="shared" si="52"/>
        <v>0</v>
      </c>
      <c r="Q125" s="16">
        <f t="shared" si="52"/>
        <v>0</v>
      </c>
      <c r="R125" s="16">
        <f t="shared" si="52"/>
        <v>0</v>
      </c>
      <c r="S125" s="16">
        <f t="shared" si="52"/>
        <v>0</v>
      </c>
      <c r="T125" s="16">
        <f t="shared" si="52"/>
        <v>0</v>
      </c>
      <c r="U125" s="16">
        <f t="shared" si="50"/>
        <v>0</v>
      </c>
      <c r="V125" s="16">
        <f t="shared" si="51"/>
        <v>0</v>
      </c>
      <c r="W125" s="16">
        <f t="shared" si="51"/>
        <v>0</v>
      </c>
      <c r="Y125" s="51">
        <f t="shared" si="57"/>
        <v>77.22999999999999</v>
      </c>
      <c r="AA125" s="44">
        <f t="shared" si="58"/>
        <v>0</v>
      </c>
      <c r="AC125" s="16" t="str">
        <f t="shared" si="59"/>
        <v>A</v>
      </c>
    </row>
    <row r="126" spans="1:29" ht="18" customHeight="1" x14ac:dyDescent="0.3">
      <c r="J126" s="5"/>
    </row>
    <row r="127" spans="1:29" ht="18" customHeight="1" x14ac:dyDescent="0.3">
      <c r="B127" s="52" t="s">
        <v>57</v>
      </c>
      <c r="C127" s="1" t="s">
        <v>58</v>
      </c>
      <c r="J127" s="5"/>
    </row>
    <row r="128" spans="1:29" ht="18" customHeight="1" x14ac:dyDescent="0.3">
      <c r="B128" s="52" t="s">
        <v>59</v>
      </c>
      <c r="C128" s="1" t="s">
        <v>60</v>
      </c>
      <c r="J128" s="5"/>
    </row>
    <row r="129" spans="2:10" ht="18" customHeight="1" x14ac:dyDescent="0.3">
      <c r="B129" s="52" t="s">
        <v>61</v>
      </c>
      <c r="C129" s="1" t="s">
        <v>62</v>
      </c>
      <c r="J129" s="5"/>
    </row>
    <row r="130" spans="2:10" ht="18" customHeight="1" x14ac:dyDescent="0.3">
      <c r="B130" s="52" t="s">
        <v>63</v>
      </c>
      <c r="C130" s="1" t="s">
        <v>64</v>
      </c>
      <c r="J130" s="5"/>
    </row>
    <row r="131" spans="2:10" ht="18" customHeight="1" x14ac:dyDescent="0.3">
      <c r="B131" s="2"/>
      <c r="C131" s="2"/>
      <c r="J131" s="5"/>
    </row>
    <row r="132" spans="2:10" ht="18" customHeight="1" x14ac:dyDescent="0.3">
      <c r="B132" s="53" t="s">
        <v>65</v>
      </c>
      <c r="C132" s="1" t="s">
        <v>66</v>
      </c>
      <c r="J132" s="5"/>
    </row>
    <row r="133" spans="2:10" ht="18" customHeight="1" x14ac:dyDescent="0.3">
      <c r="J133" s="5"/>
    </row>
    <row r="134" spans="2:10" ht="18" customHeight="1" x14ac:dyDescent="0.3">
      <c r="J134" s="5"/>
    </row>
    <row r="135" spans="2:10" ht="18" customHeight="1" x14ac:dyDescent="0.3">
      <c r="J135" s="5"/>
    </row>
    <row r="136" spans="2:10" ht="18" customHeight="1" x14ac:dyDescent="0.3">
      <c r="J136" s="5"/>
    </row>
    <row r="137" spans="2:10" ht="18" customHeight="1" x14ac:dyDescent="0.3">
      <c r="J137" s="5"/>
    </row>
    <row r="138" spans="2:10" ht="18" customHeight="1" x14ac:dyDescent="0.3">
      <c r="J138" s="5"/>
    </row>
    <row r="139" spans="2:10" ht="18" customHeight="1" x14ac:dyDescent="0.3">
      <c r="J139" s="5"/>
    </row>
    <row r="140" spans="2:10" ht="18" customHeight="1" x14ac:dyDescent="0.3">
      <c r="J140" s="5"/>
    </row>
    <row r="141" spans="2:10" ht="18" customHeight="1" x14ac:dyDescent="0.3">
      <c r="J141" s="5"/>
    </row>
    <row r="142" spans="2:10" ht="18" customHeight="1" x14ac:dyDescent="0.3">
      <c r="J142" s="5"/>
    </row>
    <row r="143" spans="2:10" ht="18" customHeight="1" x14ac:dyDescent="0.3">
      <c r="J143" s="5"/>
    </row>
    <row r="144" spans="2:10" ht="18" customHeight="1" x14ac:dyDescent="0.3">
      <c r="J144" s="5"/>
    </row>
    <row r="145" spans="10:10" ht="18" customHeight="1" x14ac:dyDescent="0.3">
      <c r="J145" s="5"/>
    </row>
    <row r="146" spans="10:10" ht="18" customHeight="1" x14ac:dyDescent="0.3">
      <c r="J146" s="5"/>
    </row>
    <row r="147" spans="10:10" ht="18" customHeight="1" x14ac:dyDescent="0.3">
      <c r="J147" s="5"/>
    </row>
    <row r="148" spans="10:10" ht="18" customHeight="1" x14ac:dyDescent="0.3">
      <c r="J148" s="5"/>
    </row>
    <row r="149" spans="10:10" ht="18" customHeight="1" x14ac:dyDescent="0.3">
      <c r="J149" s="5"/>
    </row>
    <row r="150" spans="10:10" ht="18" customHeight="1" x14ac:dyDescent="0.3">
      <c r="J150" s="5"/>
    </row>
    <row r="151" spans="10:10" ht="18" customHeight="1" x14ac:dyDescent="0.3">
      <c r="J151" s="5"/>
    </row>
    <row r="152" spans="10:10" ht="18" customHeight="1" x14ac:dyDescent="0.3">
      <c r="J152" s="5"/>
    </row>
    <row r="153" spans="10:10" ht="18" customHeight="1" x14ac:dyDescent="0.3">
      <c r="J153" s="5"/>
    </row>
    <row r="154" spans="10:10" ht="18" customHeight="1" x14ac:dyDescent="0.3">
      <c r="J154" s="5"/>
    </row>
    <row r="155" spans="10:10" ht="18" customHeight="1" x14ac:dyDescent="0.3">
      <c r="J155" s="5"/>
    </row>
    <row r="156" spans="10:10" ht="18" customHeight="1" x14ac:dyDescent="0.3">
      <c r="J156" s="5"/>
    </row>
    <row r="157" spans="10:10" ht="18" customHeight="1" x14ac:dyDescent="0.3">
      <c r="J157" s="5"/>
    </row>
    <row r="158" spans="10:10" ht="18" customHeight="1" x14ac:dyDescent="0.3">
      <c r="J158" s="5"/>
    </row>
    <row r="159" spans="10:10" ht="18" customHeight="1" x14ac:dyDescent="0.3">
      <c r="J159" s="5"/>
    </row>
    <row r="160" spans="10:10" ht="18" customHeight="1" x14ac:dyDescent="0.3">
      <c r="J160" s="5"/>
    </row>
    <row r="161" spans="10:10" ht="18" customHeight="1" x14ac:dyDescent="0.3">
      <c r="J161" s="5"/>
    </row>
    <row r="162" spans="10:10" ht="18" customHeight="1" x14ac:dyDescent="0.3">
      <c r="J162" s="5"/>
    </row>
    <row r="163" spans="10:10" ht="18" customHeight="1" x14ac:dyDescent="0.3">
      <c r="J163" s="5"/>
    </row>
    <row r="164" spans="10:10" ht="18" customHeight="1" x14ac:dyDescent="0.3">
      <c r="J164" s="5"/>
    </row>
    <row r="165" spans="10:10" ht="18" customHeight="1" x14ac:dyDescent="0.3">
      <c r="J165" s="5"/>
    </row>
    <row r="166" spans="10:10" ht="18" customHeight="1" x14ac:dyDescent="0.3">
      <c r="J166" s="5"/>
    </row>
    <row r="167" spans="10:10" ht="18" customHeight="1" x14ac:dyDescent="0.3">
      <c r="J167" s="5"/>
    </row>
    <row r="168" spans="10:10" ht="18" customHeight="1" x14ac:dyDescent="0.3">
      <c r="J168" s="5"/>
    </row>
    <row r="169" spans="10:10" ht="18" customHeight="1" x14ac:dyDescent="0.3">
      <c r="J169" s="5"/>
    </row>
    <row r="170" spans="10:10" ht="18" customHeight="1" x14ac:dyDescent="0.3">
      <c r="J170" s="5"/>
    </row>
    <row r="171" spans="10:10" ht="18" customHeight="1" x14ac:dyDescent="0.3">
      <c r="J171" s="5"/>
    </row>
    <row r="172" spans="10:10" ht="18" customHeight="1" x14ac:dyDescent="0.3">
      <c r="J172" s="5"/>
    </row>
    <row r="173" spans="10:10" ht="18" customHeight="1" x14ac:dyDescent="0.3">
      <c r="J173" s="5"/>
    </row>
    <row r="174" spans="10:10" ht="18" customHeight="1" x14ac:dyDescent="0.3">
      <c r="J174" s="5"/>
    </row>
    <row r="175" spans="10:10" ht="18" customHeight="1" x14ac:dyDescent="0.3">
      <c r="J175" s="5"/>
    </row>
    <row r="176" spans="10:10" ht="18" customHeight="1" x14ac:dyDescent="0.3">
      <c r="J176" s="5"/>
    </row>
    <row r="177" spans="10:10" ht="18" customHeight="1" x14ac:dyDescent="0.3">
      <c r="J177" s="5"/>
    </row>
    <row r="178" spans="10:10" ht="18" customHeight="1" x14ac:dyDescent="0.3">
      <c r="J178" s="5"/>
    </row>
    <row r="179" spans="10:10" ht="18" customHeight="1" x14ac:dyDescent="0.3">
      <c r="J179" s="5"/>
    </row>
    <row r="180" spans="10:10" ht="18" customHeight="1" x14ac:dyDescent="0.3">
      <c r="J180" s="5"/>
    </row>
    <row r="181" spans="10:10" ht="18" customHeight="1" x14ac:dyDescent="0.3">
      <c r="J181" s="5"/>
    </row>
    <row r="182" spans="10:10" ht="18" customHeight="1" x14ac:dyDescent="0.3">
      <c r="J182" s="5"/>
    </row>
    <row r="183" spans="10:10" ht="18" customHeight="1" x14ac:dyDescent="0.3">
      <c r="J183" s="5"/>
    </row>
    <row r="184" spans="10:10" ht="18" customHeight="1" x14ac:dyDescent="0.3">
      <c r="J184" s="5"/>
    </row>
    <row r="185" spans="10:10" ht="18" customHeight="1" x14ac:dyDescent="0.3">
      <c r="J185" s="5"/>
    </row>
    <row r="186" spans="10:10" ht="18" customHeight="1" x14ac:dyDescent="0.3">
      <c r="J186" s="5"/>
    </row>
    <row r="187" spans="10:10" ht="18" customHeight="1" x14ac:dyDescent="0.3">
      <c r="J187" s="5"/>
    </row>
    <row r="188" spans="10:10" ht="18" customHeight="1" x14ac:dyDescent="0.3">
      <c r="J188" s="5"/>
    </row>
    <row r="189" spans="10:10" ht="18" customHeight="1" x14ac:dyDescent="0.3">
      <c r="J189" s="5"/>
    </row>
    <row r="190" spans="10:10" ht="18" customHeight="1" x14ac:dyDescent="0.3">
      <c r="J190" s="5"/>
    </row>
    <row r="191" spans="10:10" ht="18" customHeight="1" x14ac:dyDescent="0.3">
      <c r="J191" s="5"/>
    </row>
    <row r="192" spans="10:10" ht="18" customHeight="1" x14ac:dyDescent="0.3">
      <c r="J192" s="5"/>
    </row>
    <row r="193" spans="10:10" ht="18" customHeight="1" x14ac:dyDescent="0.3">
      <c r="J193" s="5"/>
    </row>
    <row r="194" spans="10:10" ht="18" customHeight="1" x14ac:dyDescent="0.3">
      <c r="J194" s="5"/>
    </row>
    <row r="195" spans="10:10" ht="18" customHeight="1" x14ac:dyDescent="0.3">
      <c r="J195" s="5"/>
    </row>
    <row r="196" spans="10:10" ht="18" customHeight="1" x14ac:dyDescent="0.3">
      <c r="J196" s="5"/>
    </row>
    <row r="197" spans="10:10" ht="18" customHeight="1" x14ac:dyDescent="0.3">
      <c r="J197" s="5"/>
    </row>
    <row r="198" spans="10:10" ht="18" customHeight="1" x14ac:dyDescent="0.3">
      <c r="J198" s="5"/>
    </row>
    <row r="199" spans="10:10" ht="18" customHeight="1" x14ac:dyDescent="0.3">
      <c r="J199" s="5"/>
    </row>
    <row r="200" spans="10:10" ht="18" customHeight="1" x14ac:dyDescent="0.3">
      <c r="J200" s="5"/>
    </row>
    <row r="201" spans="10:10" ht="18" customHeight="1" x14ac:dyDescent="0.3">
      <c r="J201" s="5"/>
    </row>
    <row r="202" spans="10:10" ht="18" customHeight="1" x14ac:dyDescent="0.3">
      <c r="J202" s="5"/>
    </row>
    <row r="203" spans="10:10" ht="18" customHeight="1" x14ac:dyDescent="0.3">
      <c r="J203" s="5"/>
    </row>
    <row r="204" spans="10:10" ht="18" customHeight="1" x14ac:dyDescent="0.3">
      <c r="J204" s="5"/>
    </row>
    <row r="205" spans="10:10" ht="18" customHeight="1" x14ac:dyDescent="0.3">
      <c r="J205" s="5"/>
    </row>
    <row r="206" spans="10:10" ht="18" customHeight="1" x14ac:dyDescent="0.3">
      <c r="J206" s="5"/>
    </row>
    <row r="207" spans="10:10" ht="18" customHeight="1" x14ac:dyDescent="0.3">
      <c r="J207" s="5"/>
    </row>
    <row r="208" spans="10:10" ht="18" customHeight="1" x14ac:dyDescent="0.3">
      <c r="J208" s="5"/>
    </row>
    <row r="209" spans="10:10" ht="18" customHeight="1" x14ac:dyDescent="0.3">
      <c r="J209" s="5"/>
    </row>
    <row r="210" spans="10:10" ht="18" customHeight="1" x14ac:dyDescent="0.3">
      <c r="J210" s="5"/>
    </row>
    <row r="211" spans="10:10" ht="18" customHeight="1" x14ac:dyDescent="0.3">
      <c r="J211" s="5"/>
    </row>
    <row r="212" spans="10:10" ht="18" customHeight="1" x14ac:dyDescent="0.3">
      <c r="J212" s="5"/>
    </row>
    <row r="213" spans="10:10" ht="18" customHeight="1" x14ac:dyDescent="0.3">
      <c r="J213" s="5"/>
    </row>
    <row r="214" spans="10:10" ht="18" customHeight="1" x14ac:dyDescent="0.3">
      <c r="J214" s="5"/>
    </row>
    <row r="215" spans="10:10" ht="18" customHeight="1" x14ac:dyDescent="0.3">
      <c r="J215" s="5"/>
    </row>
    <row r="216" spans="10:10" ht="18" customHeight="1" x14ac:dyDescent="0.3">
      <c r="J216" s="5"/>
    </row>
    <row r="217" spans="10:10" ht="18" customHeight="1" x14ac:dyDescent="0.3">
      <c r="J217" s="5"/>
    </row>
    <row r="218" spans="10:10" ht="18" customHeight="1" x14ac:dyDescent="0.3">
      <c r="J218" s="5"/>
    </row>
    <row r="219" spans="10:10" ht="18" customHeight="1" x14ac:dyDescent="0.3">
      <c r="J219" s="5"/>
    </row>
    <row r="220" spans="10:10" ht="18" customHeight="1" x14ac:dyDescent="0.3">
      <c r="J220" s="5"/>
    </row>
    <row r="221" spans="10:10" ht="18" customHeight="1" x14ac:dyDescent="0.3">
      <c r="J221" s="5"/>
    </row>
    <row r="222" spans="10:10" ht="18" customHeight="1" x14ac:dyDescent="0.3">
      <c r="J222" s="5"/>
    </row>
    <row r="223" spans="10:10" ht="18" customHeight="1" x14ac:dyDescent="0.3">
      <c r="J223" s="5"/>
    </row>
    <row r="224" spans="10:10" ht="18" customHeight="1" x14ac:dyDescent="0.3">
      <c r="J224" s="5"/>
    </row>
    <row r="225" spans="10:10" ht="18" customHeight="1" x14ac:dyDescent="0.3">
      <c r="J225" s="5"/>
    </row>
    <row r="226" spans="10:10" ht="18" customHeight="1" x14ac:dyDescent="0.3">
      <c r="J226" s="5"/>
    </row>
    <row r="227" spans="10:10" ht="18" customHeight="1" x14ac:dyDescent="0.3">
      <c r="J227" s="5"/>
    </row>
    <row r="228" spans="10:10" ht="18" customHeight="1" x14ac:dyDescent="0.3">
      <c r="J228" s="5"/>
    </row>
    <row r="229" spans="10:10" ht="18" customHeight="1" x14ac:dyDescent="0.3">
      <c r="J229" s="5"/>
    </row>
    <row r="230" spans="10:10" ht="18" customHeight="1" x14ac:dyDescent="0.3">
      <c r="J230" s="5"/>
    </row>
    <row r="231" spans="10:10" ht="18" customHeight="1" x14ac:dyDescent="0.3">
      <c r="J231" s="5"/>
    </row>
    <row r="232" spans="10:10" ht="18" customHeight="1" x14ac:dyDescent="0.3">
      <c r="J232" s="5"/>
    </row>
    <row r="233" spans="10:10" ht="18" customHeight="1" x14ac:dyDescent="0.3">
      <c r="J233" s="5"/>
    </row>
    <row r="234" spans="10:10" ht="18" customHeight="1" x14ac:dyDescent="0.3">
      <c r="J234" s="5"/>
    </row>
    <row r="235" spans="10:10" ht="18" customHeight="1" x14ac:dyDescent="0.3">
      <c r="J235" s="5"/>
    </row>
    <row r="236" spans="10:10" ht="18" customHeight="1" x14ac:dyDescent="0.3">
      <c r="J236" s="5"/>
    </row>
    <row r="237" spans="10:10" ht="18" customHeight="1" x14ac:dyDescent="0.3">
      <c r="J237" s="5"/>
    </row>
    <row r="238" spans="10:10" ht="18" customHeight="1" x14ac:dyDescent="0.3">
      <c r="J238" s="5"/>
    </row>
    <row r="239" spans="10:10" ht="18" customHeight="1" x14ac:dyDescent="0.3">
      <c r="J239" s="5"/>
    </row>
    <row r="240" spans="10:10" ht="18" customHeight="1" x14ac:dyDescent="0.3">
      <c r="J240" s="5"/>
    </row>
    <row r="241" spans="10:10" ht="18" customHeight="1" x14ac:dyDescent="0.3">
      <c r="J241" s="5"/>
    </row>
    <row r="242" spans="10:10" ht="18" customHeight="1" x14ac:dyDescent="0.3">
      <c r="J242" s="5"/>
    </row>
    <row r="243" spans="10:10" ht="18" customHeight="1" x14ac:dyDescent="0.3">
      <c r="J243" s="5"/>
    </row>
    <row r="244" spans="10:10" ht="18" customHeight="1" x14ac:dyDescent="0.3">
      <c r="J244" s="5"/>
    </row>
    <row r="245" spans="10:10" ht="18" customHeight="1" x14ac:dyDescent="0.3">
      <c r="J245" s="5"/>
    </row>
    <row r="246" spans="10:10" ht="18" customHeight="1" x14ac:dyDescent="0.3">
      <c r="J246" s="5"/>
    </row>
    <row r="247" spans="10:10" ht="18" customHeight="1" x14ac:dyDescent="0.3">
      <c r="J247" s="5"/>
    </row>
    <row r="248" spans="10:10" ht="18" customHeight="1" x14ac:dyDescent="0.3">
      <c r="J248" s="5"/>
    </row>
    <row r="249" spans="10:10" ht="18" customHeight="1" x14ac:dyDescent="0.3">
      <c r="J249" s="5"/>
    </row>
    <row r="250" spans="10:10" ht="18" customHeight="1" x14ac:dyDescent="0.3">
      <c r="J250" s="5"/>
    </row>
    <row r="251" spans="10:10" ht="18" customHeight="1" x14ac:dyDescent="0.3">
      <c r="J251" s="5"/>
    </row>
    <row r="252" spans="10:10" ht="18" customHeight="1" x14ac:dyDescent="0.3">
      <c r="J252" s="5"/>
    </row>
    <row r="253" spans="10:10" ht="18" customHeight="1" x14ac:dyDescent="0.3">
      <c r="J253" s="5"/>
    </row>
    <row r="254" spans="10:10" ht="18" customHeight="1" x14ac:dyDescent="0.3">
      <c r="J254" s="5"/>
    </row>
    <row r="255" spans="10:10" ht="18" customHeight="1" x14ac:dyDescent="0.3">
      <c r="J255" s="5"/>
    </row>
    <row r="256" spans="10:10" ht="18" customHeight="1" x14ac:dyDescent="0.3">
      <c r="J256" s="5"/>
    </row>
    <row r="257" spans="10:10" ht="18" customHeight="1" x14ac:dyDescent="0.3">
      <c r="J257" s="5"/>
    </row>
    <row r="258" spans="10:10" ht="18" customHeight="1" x14ac:dyDescent="0.3">
      <c r="J258" s="5"/>
    </row>
    <row r="259" spans="10:10" ht="18" customHeight="1" x14ac:dyDescent="0.3">
      <c r="J259" s="5"/>
    </row>
    <row r="260" spans="10:10" ht="18" customHeight="1" x14ac:dyDescent="0.3">
      <c r="J260" s="5"/>
    </row>
    <row r="261" spans="10:10" ht="18" customHeight="1" x14ac:dyDescent="0.3">
      <c r="J261" s="5"/>
    </row>
    <row r="262" spans="10:10" ht="18" customHeight="1" x14ac:dyDescent="0.3">
      <c r="J262" s="5"/>
    </row>
    <row r="263" spans="10:10" ht="18" customHeight="1" x14ac:dyDescent="0.3">
      <c r="J263" s="5"/>
    </row>
    <row r="264" spans="10:10" ht="18" customHeight="1" x14ac:dyDescent="0.3">
      <c r="J264" s="5"/>
    </row>
    <row r="265" spans="10:10" ht="18" customHeight="1" x14ac:dyDescent="0.3">
      <c r="J265" s="5"/>
    </row>
    <row r="266" spans="10:10" ht="18" customHeight="1" x14ac:dyDescent="0.3">
      <c r="J266" s="5"/>
    </row>
    <row r="267" spans="10:10" ht="18" customHeight="1" x14ac:dyDescent="0.3">
      <c r="J267" s="5"/>
    </row>
    <row r="268" spans="10:10" ht="18" customHeight="1" x14ac:dyDescent="0.3">
      <c r="J268" s="5"/>
    </row>
    <row r="269" spans="10:10" ht="18" customHeight="1" x14ac:dyDescent="0.3">
      <c r="J269" s="5"/>
    </row>
    <row r="270" spans="10:10" ht="18" customHeight="1" x14ac:dyDescent="0.3">
      <c r="J270" s="5"/>
    </row>
    <row r="271" spans="10:10" ht="18" customHeight="1" x14ac:dyDescent="0.3">
      <c r="J271" s="5"/>
    </row>
    <row r="272" spans="10:10" ht="18" customHeight="1" x14ac:dyDescent="0.3">
      <c r="J272" s="5"/>
    </row>
    <row r="273" spans="10:10" ht="18" customHeight="1" x14ac:dyDescent="0.3">
      <c r="J273" s="5"/>
    </row>
    <row r="274" spans="10:10" ht="18" customHeight="1" x14ac:dyDescent="0.3">
      <c r="J274" s="5"/>
    </row>
    <row r="275" spans="10:10" ht="18" customHeight="1" x14ac:dyDescent="0.3">
      <c r="J275" s="5"/>
    </row>
    <row r="276" spans="10:10" ht="18" customHeight="1" x14ac:dyDescent="0.3">
      <c r="J276" s="5"/>
    </row>
    <row r="277" spans="10:10" ht="18" customHeight="1" x14ac:dyDescent="0.3">
      <c r="J277" s="5"/>
    </row>
    <row r="278" spans="10:10" ht="18" customHeight="1" x14ac:dyDescent="0.3">
      <c r="J278" s="5"/>
    </row>
    <row r="279" spans="10:10" ht="18" customHeight="1" x14ac:dyDescent="0.3">
      <c r="J279" s="5"/>
    </row>
    <row r="280" spans="10:10" ht="18" customHeight="1" x14ac:dyDescent="0.3">
      <c r="J280" s="5"/>
    </row>
    <row r="281" spans="10:10" ht="18" customHeight="1" x14ac:dyDescent="0.3">
      <c r="J281" s="5"/>
    </row>
    <row r="282" spans="10:10" ht="18" customHeight="1" x14ac:dyDescent="0.3">
      <c r="J282" s="5"/>
    </row>
    <row r="283" spans="10:10" ht="18" customHeight="1" x14ac:dyDescent="0.3">
      <c r="J283" s="5"/>
    </row>
    <row r="284" spans="10:10" ht="18" customHeight="1" x14ac:dyDescent="0.3">
      <c r="J284" s="5"/>
    </row>
    <row r="285" spans="10:10" ht="18" customHeight="1" x14ac:dyDescent="0.3">
      <c r="J285" s="5"/>
    </row>
    <row r="286" spans="10:10" ht="18" customHeight="1" x14ac:dyDescent="0.3">
      <c r="J286" s="5"/>
    </row>
    <row r="287" spans="10:10" ht="18" customHeight="1" x14ac:dyDescent="0.3">
      <c r="J287" s="5"/>
    </row>
    <row r="288" spans="10:10" ht="18" customHeight="1" x14ac:dyDescent="0.3">
      <c r="J288" s="5"/>
    </row>
    <row r="289" spans="10:10" ht="18" customHeight="1" x14ac:dyDescent="0.3">
      <c r="J289" s="5"/>
    </row>
    <row r="290" spans="10:10" ht="18" customHeight="1" x14ac:dyDescent="0.3">
      <c r="J290" s="5"/>
    </row>
    <row r="291" spans="10:10" ht="18" customHeight="1" x14ac:dyDescent="0.3">
      <c r="J291" s="5"/>
    </row>
    <row r="292" spans="10:10" ht="18" customHeight="1" x14ac:dyDescent="0.3">
      <c r="J292" s="5"/>
    </row>
    <row r="293" spans="10:10" ht="18" customHeight="1" x14ac:dyDescent="0.3">
      <c r="J293" s="5"/>
    </row>
    <row r="294" spans="10:10" ht="18" customHeight="1" x14ac:dyDescent="0.3">
      <c r="J294" s="5"/>
    </row>
    <row r="295" spans="10:10" ht="18" customHeight="1" x14ac:dyDescent="0.3">
      <c r="J295" s="5"/>
    </row>
    <row r="296" spans="10:10" ht="18" customHeight="1" x14ac:dyDescent="0.3">
      <c r="J296" s="5"/>
    </row>
    <row r="297" spans="10:10" ht="18" customHeight="1" x14ac:dyDescent="0.3">
      <c r="J297" s="5"/>
    </row>
    <row r="298" spans="10:10" ht="18" customHeight="1" x14ac:dyDescent="0.3">
      <c r="J298" s="5"/>
    </row>
    <row r="299" spans="10:10" ht="18" customHeight="1" x14ac:dyDescent="0.3">
      <c r="J299" s="5"/>
    </row>
    <row r="300" spans="10:10" ht="18" customHeight="1" x14ac:dyDescent="0.3">
      <c r="J300" s="5"/>
    </row>
    <row r="301" spans="10:10" ht="18" customHeight="1" x14ac:dyDescent="0.3">
      <c r="J301" s="5"/>
    </row>
    <row r="302" spans="10:10" ht="18" customHeight="1" x14ac:dyDescent="0.3">
      <c r="J302" s="5"/>
    </row>
    <row r="303" spans="10:10" ht="18" customHeight="1" x14ac:dyDescent="0.3">
      <c r="J303" s="5"/>
    </row>
    <row r="304" spans="10:10" ht="18" customHeight="1" x14ac:dyDescent="0.3">
      <c r="J304" s="5"/>
    </row>
    <row r="305" spans="10:10" ht="18" customHeight="1" x14ac:dyDescent="0.3">
      <c r="J305" s="5"/>
    </row>
    <row r="306" spans="10:10" ht="18" customHeight="1" x14ac:dyDescent="0.3">
      <c r="J306" s="5"/>
    </row>
    <row r="307" spans="10:10" ht="18" customHeight="1" x14ac:dyDescent="0.3">
      <c r="J307" s="5"/>
    </row>
    <row r="308" spans="10:10" ht="18" customHeight="1" x14ac:dyDescent="0.3">
      <c r="J308" s="5"/>
    </row>
    <row r="309" spans="10:10" ht="18" customHeight="1" x14ac:dyDescent="0.3">
      <c r="J309" s="5"/>
    </row>
    <row r="310" spans="10:10" ht="18" customHeight="1" x14ac:dyDescent="0.3">
      <c r="J310" s="5"/>
    </row>
    <row r="311" spans="10:10" ht="18" customHeight="1" x14ac:dyDescent="0.3">
      <c r="J311" s="5"/>
    </row>
    <row r="312" spans="10:10" ht="18" customHeight="1" x14ac:dyDescent="0.3">
      <c r="J312" s="5"/>
    </row>
    <row r="313" spans="10:10" ht="18" customHeight="1" x14ac:dyDescent="0.3">
      <c r="J313" s="5"/>
    </row>
    <row r="314" spans="10:10" ht="18" customHeight="1" x14ac:dyDescent="0.3">
      <c r="J314" s="5"/>
    </row>
    <row r="315" spans="10:10" ht="18" customHeight="1" x14ac:dyDescent="0.3">
      <c r="J315" s="5"/>
    </row>
    <row r="316" spans="10:10" ht="18" customHeight="1" x14ac:dyDescent="0.3">
      <c r="J316" s="5"/>
    </row>
    <row r="317" spans="10:10" ht="18" customHeight="1" x14ac:dyDescent="0.3">
      <c r="J317" s="5"/>
    </row>
    <row r="318" spans="10:10" ht="18" customHeight="1" x14ac:dyDescent="0.3">
      <c r="J318" s="5"/>
    </row>
    <row r="319" spans="10:10" ht="18" customHeight="1" x14ac:dyDescent="0.3">
      <c r="J319" s="5"/>
    </row>
    <row r="320" spans="10:10" ht="18" customHeight="1" x14ac:dyDescent="0.3">
      <c r="J320" s="5"/>
    </row>
    <row r="321" spans="10:10" ht="18" customHeight="1" x14ac:dyDescent="0.3">
      <c r="J321" s="5"/>
    </row>
    <row r="322" spans="10:10" ht="18" customHeight="1" x14ac:dyDescent="0.3">
      <c r="J322" s="5"/>
    </row>
    <row r="323" spans="10:10" ht="18" customHeight="1" x14ac:dyDescent="0.3">
      <c r="J323" s="5"/>
    </row>
    <row r="324" spans="10:10" ht="18" customHeight="1" x14ac:dyDescent="0.3">
      <c r="J324" s="5"/>
    </row>
    <row r="325" spans="10:10" ht="18" customHeight="1" x14ac:dyDescent="0.3">
      <c r="J325" s="5"/>
    </row>
    <row r="326" spans="10:10" ht="18" customHeight="1" x14ac:dyDescent="0.3">
      <c r="J326" s="5"/>
    </row>
    <row r="327" spans="10:10" ht="18" customHeight="1" x14ac:dyDescent="0.3">
      <c r="J327" s="5"/>
    </row>
    <row r="328" spans="10:10" ht="18" customHeight="1" x14ac:dyDescent="0.3">
      <c r="J328" s="5"/>
    </row>
    <row r="329" spans="10:10" ht="18" customHeight="1" x14ac:dyDescent="0.3">
      <c r="J329" s="5"/>
    </row>
    <row r="330" spans="10:10" ht="18" customHeight="1" x14ac:dyDescent="0.3">
      <c r="J330" s="5"/>
    </row>
    <row r="331" spans="10:10" ht="18" customHeight="1" x14ac:dyDescent="0.3">
      <c r="J331" s="5"/>
    </row>
    <row r="332" spans="10:10" ht="18" customHeight="1" x14ac:dyDescent="0.3">
      <c r="J332" s="5"/>
    </row>
    <row r="333" spans="10:10" ht="18" customHeight="1" x14ac:dyDescent="0.3">
      <c r="J333" s="5"/>
    </row>
    <row r="334" spans="10:10" ht="18" customHeight="1" x14ac:dyDescent="0.3">
      <c r="J334" s="5"/>
    </row>
    <row r="335" spans="10:10" ht="18" customHeight="1" x14ac:dyDescent="0.3">
      <c r="J335" s="5"/>
    </row>
    <row r="336" spans="10:10" ht="18" customHeight="1" x14ac:dyDescent="0.3">
      <c r="J336" s="5"/>
    </row>
    <row r="337" spans="10:10" ht="18" customHeight="1" x14ac:dyDescent="0.3">
      <c r="J337" s="5"/>
    </row>
    <row r="338" spans="10:10" ht="18" customHeight="1" x14ac:dyDescent="0.3">
      <c r="J338" s="5"/>
    </row>
    <row r="339" spans="10:10" ht="18" customHeight="1" x14ac:dyDescent="0.3">
      <c r="J339" s="5"/>
    </row>
    <row r="340" spans="10:10" ht="18" customHeight="1" x14ac:dyDescent="0.3">
      <c r="J340" s="5"/>
    </row>
    <row r="341" spans="10:10" ht="18" customHeight="1" x14ac:dyDescent="0.3">
      <c r="J341" s="5"/>
    </row>
    <row r="342" spans="10:10" ht="18" customHeight="1" x14ac:dyDescent="0.3">
      <c r="J342" s="5"/>
    </row>
    <row r="343" spans="10:10" ht="18" customHeight="1" x14ac:dyDescent="0.3">
      <c r="J343" s="5"/>
    </row>
    <row r="344" spans="10:10" ht="18" customHeight="1" x14ac:dyDescent="0.3">
      <c r="J344" s="5"/>
    </row>
    <row r="345" spans="10:10" ht="18" customHeight="1" x14ac:dyDescent="0.3">
      <c r="J345" s="5"/>
    </row>
    <row r="346" spans="10:10" ht="18" customHeight="1" x14ac:dyDescent="0.3">
      <c r="J346" s="5"/>
    </row>
    <row r="347" spans="10:10" ht="18" customHeight="1" x14ac:dyDescent="0.3">
      <c r="J347" s="5"/>
    </row>
    <row r="348" spans="10:10" ht="18" customHeight="1" x14ac:dyDescent="0.3">
      <c r="J348" s="5"/>
    </row>
    <row r="349" spans="10:10" ht="18" customHeight="1" x14ac:dyDescent="0.3">
      <c r="J349" s="5"/>
    </row>
    <row r="350" spans="10:10" ht="18" customHeight="1" x14ac:dyDescent="0.3">
      <c r="J350" s="5"/>
    </row>
    <row r="351" spans="10:10" ht="18" customHeight="1" x14ac:dyDescent="0.3">
      <c r="J351" s="5"/>
    </row>
    <row r="352" spans="10:10" ht="18" customHeight="1" x14ac:dyDescent="0.3">
      <c r="J352" s="5"/>
    </row>
    <row r="353" spans="10:10" ht="18" customHeight="1" x14ac:dyDescent="0.3">
      <c r="J353" s="5"/>
    </row>
    <row r="354" spans="10:10" ht="18" customHeight="1" x14ac:dyDescent="0.3">
      <c r="J354" s="5"/>
    </row>
    <row r="355" spans="10:10" ht="18" customHeight="1" x14ac:dyDescent="0.3">
      <c r="J355" s="5"/>
    </row>
    <row r="356" spans="10:10" ht="18" customHeight="1" x14ac:dyDescent="0.3">
      <c r="J356" s="5"/>
    </row>
    <row r="357" spans="10:10" ht="18" customHeight="1" x14ac:dyDescent="0.3">
      <c r="J357" s="5"/>
    </row>
    <row r="358" spans="10:10" ht="18" customHeight="1" x14ac:dyDescent="0.3">
      <c r="J358" s="5"/>
    </row>
    <row r="359" spans="10:10" ht="18" customHeight="1" x14ac:dyDescent="0.3">
      <c r="J359" s="5"/>
    </row>
    <row r="360" spans="10:10" ht="18" customHeight="1" x14ac:dyDescent="0.3">
      <c r="J360" s="5"/>
    </row>
    <row r="361" spans="10:10" ht="18" customHeight="1" x14ac:dyDescent="0.3">
      <c r="J361" s="5"/>
    </row>
    <row r="362" spans="10:10" ht="18" customHeight="1" x14ac:dyDescent="0.3">
      <c r="J362" s="5"/>
    </row>
    <row r="363" spans="10:10" ht="18" customHeight="1" x14ac:dyDescent="0.3">
      <c r="J363" s="5"/>
    </row>
    <row r="364" spans="10:10" ht="18" customHeight="1" x14ac:dyDescent="0.3">
      <c r="J364" s="5"/>
    </row>
    <row r="365" spans="10:10" ht="18" customHeight="1" x14ac:dyDescent="0.3">
      <c r="J365" s="5"/>
    </row>
    <row r="366" spans="10:10" ht="18" customHeight="1" x14ac:dyDescent="0.3">
      <c r="J366" s="5"/>
    </row>
    <row r="367" spans="10:10" ht="18" customHeight="1" x14ac:dyDescent="0.3">
      <c r="J367" s="5"/>
    </row>
    <row r="368" spans="10:10" ht="18" customHeight="1" x14ac:dyDescent="0.3">
      <c r="J368" s="5"/>
    </row>
    <row r="369" spans="10:10" ht="18" customHeight="1" x14ac:dyDescent="0.3">
      <c r="J369" s="5"/>
    </row>
    <row r="370" spans="10:10" ht="18" customHeight="1" x14ac:dyDescent="0.3">
      <c r="J370" s="5"/>
    </row>
    <row r="371" spans="10:10" ht="18" customHeight="1" x14ac:dyDescent="0.3">
      <c r="J371" s="5"/>
    </row>
    <row r="372" spans="10:10" ht="18" customHeight="1" x14ac:dyDescent="0.3">
      <c r="J372" s="5"/>
    </row>
    <row r="373" spans="10:10" ht="18" customHeight="1" x14ac:dyDescent="0.3">
      <c r="J373" s="5"/>
    </row>
    <row r="374" spans="10:10" ht="18" customHeight="1" x14ac:dyDescent="0.3">
      <c r="J374" s="5"/>
    </row>
    <row r="375" spans="10:10" ht="18" customHeight="1" x14ac:dyDescent="0.3">
      <c r="J375" s="5"/>
    </row>
    <row r="376" spans="10:10" ht="18" customHeight="1" x14ac:dyDescent="0.3">
      <c r="J376" s="5"/>
    </row>
    <row r="377" spans="10:10" ht="18" customHeight="1" x14ac:dyDescent="0.3">
      <c r="J377" s="5"/>
    </row>
    <row r="378" spans="10:10" ht="18" customHeight="1" x14ac:dyDescent="0.3">
      <c r="J378" s="5"/>
    </row>
    <row r="379" spans="10:10" ht="18" customHeight="1" x14ac:dyDescent="0.3">
      <c r="J379" s="5"/>
    </row>
    <row r="380" spans="10:10" ht="18" customHeight="1" x14ac:dyDescent="0.3">
      <c r="J380" s="5"/>
    </row>
    <row r="381" spans="10:10" ht="18" customHeight="1" x14ac:dyDescent="0.3">
      <c r="J381" s="5"/>
    </row>
    <row r="382" spans="10:10" ht="18" customHeight="1" x14ac:dyDescent="0.3">
      <c r="J382" s="5"/>
    </row>
    <row r="383" spans="10:10" ht="18" customHeight="1" x14ac:dyDescent="0.3">
      <c r="J383" s="5"/>
    </row>
    <row r="384" spans="10:10" ht="18" customHeight="1" x14ac:dyDescent="0.3">
      <c r="J384" s="5"/>
    </row>
    <row r="385" spans="10:10" ht="18" customHeight="1" x14ac:dyDescent="0.3">
      <c r="J385" s="5"/>
    </row>
    <row r="386" spans="10:10" ht="18" customHeight="1" x14ac:dyDescent="0.3">
      <c r="J386" s="5"/>
    </row>
    <row r="387" spans="10:10" ht="18" customHeight="1" x14ac:dyDescent="0.3">
      <c r="J387" s="5"/>
    </row>
    <row r="388" spans="10:10" ht="18" customHeight="1" x14ac:dyDescent="0.3">
      <c r="J388" s="5"/>
    </row>
    <row r="389" spans="10:10" ht="18" customHeight="1" x14ac:dyDescent="0.3">
      <c r="J389" s="5"/>
    </row>
    <row r="390" spans="10:10" ht="18" customHeight="1" x14ac:dyDescent="0.3">
      <c r="J390" s="5"/>
    </row>
    <row r="391" spans="10:10" ht="18" customHeight="1" x14ac:dyDescent="0.3">
      <c r="J391" s="5"/>
    </row>
    <row r="392" spans="10:10" ht="18" customHeight="1" x14ac:dyDescent="0.3">
      <c r="J392" s="5"/>
    </row>
    <row r="393" spans="10:10" ht="18" customHeight="1" x14ac:dyDescent="0.3">
      <c r="J393" s="5"/>
    </row>
    <row r="394" spans="10:10" ht="18" customHeight="1" x14ac:dyDescent="0.3">
      <c r="J394" s="5"/>
    </row>
    <row r="395" spans="10:10" ht="18" customHeight="1" x14ac:dyDescent="0.3">
      <c r="J395" s="5"/>
    </row>
    <row r="396" spans="10:10" ht="18" customHeight="1" x14ac:dyDescent="0.3">
      <c r="J396" s="5"/>
    </row>
    <row r="397" spans="10:10" ht="18" customHeight="1" x14ac:dyDescent="0.3">
      <c r="J397" s="5"/>
    </row>
    <row r="398" spans="10:10" ht="18" customHeight="1" x14ac:dyDescent="0.3">
      <c r="J398" s="5"/>
    </row>
    <row r="399" spans="10:10" ht="18" customHeight="1" x14ac:dyDescent="0.3">
      <c r="J399" s="5"/>
    </row>
    <row r="400" spans="10:10" ht="18" customHeight="1" x14ac:dyDescent="0.3">
      <c r="J400" s="5"/>
    </row>
    <row r="401" spans="10:10" ht="18" customHeight="1" x14ac:dyDescent="0.3">
      <c r="J401" s="5"/>
    </row>
    <row r="402" spans="10:10" ht="18" customHeight="1" x14ac:dyDescent="0.3">
      <c r="J402" s="5"/>
    </row>
    <row r="403" spans="10:10" ht="18" customHeight="1" x14ac:dyDescent="0.3">
      <c r="J403" s="5"/>
    </row>
    <row r="404" spans="10:10" ht="18" customHeight="1" x14ac:dyDescent="0.3">
      <c r="J404" s="5"/>
    </row>
    <row r="405" spans="10:10" ht="18" customHeight="1" x14ac:dyDescent="0.3">
      <c r="J405" s="5"/>
    </row>
    <row r="406" spans="10:10" ht="18" customHeight="1" x14ac:dyDescent="0.3">
      <c r="J406" s="5"/>
    </row>
    <row r="407" spans="10:10" ht="18" customHeight="1" x14ac:dyDescent="0.3">
      <c r="J407" s="5"/>
    </row>
    <row r="408" spans="10:10" ht="18" customHeight="1" x14ac:dyDescent="0.3">
      <c r="J408" s="5"/>
    </row>
    <row r="409" spans="10:10" ht="18" customHeight="1" x14ac:dyDescent="0.3">
      <c r="J409" s="5"/>
    </row>
    <row r="410" spans="10:10" ht="18" customHeight="1" x14ac:dyDescent="0.3">
      <c r="J410" s="5"/>
    </row>
    <row r="411" spans="10:10" ht="18" customHeight="1" x14ac:dyDescent="0.3">
      <c r="J411" s="5"/>
    </row>
    <row r="412" spans="10:10" ht="18" customHeight="1" x14ac:dyDescent="0.3">
      <c r="J412" s="5"/>
    </row>
    <row r="413" spans="10:10" ht="18" customHeight="1" x14ac:dyDescent="0.3">
      <c r="J413" s="5"/>
    </row>
    <row r="414" spans="10:10" ht="18" customHeight="1" x14ac:dyDescent="0.3">
      <c r="J414" s="5"/>
    </row>
    <row r="415" spans="10:10" ht="18" customHeight="1" x14ac:dyDescent="0.3">
      <c r="J415" s="5"/>
    </row>
    <row r="416" spans="10:10" ht="18" customHeight="1" x14ac:dyDescent="0.3">
      <c r="J416" s="5"/>
    </row>
    <row r="417" spans="10:10" ht="18" customHeight="1" x14ac:dyDescent="0.3">
      <c r="J417" s="5"/>
    </row>
    <row r="418" spans="10:10" ht="18" customHeight="1" x14ac:dyDescent="0.3">
      <c r="J418" s="5"/>
    </row>
    <row r="419" spans="10:10" ht="18" customHeight="1" x14ac:dyDescent="0.3">
      <c r="J419" s="5"/>
    </row>
    <row r="420" spans="10:10" ht="18" customHeight="1" x14ac:dyDescent="0.3">
      <c r="J420" s="5"/>
    </row>
    <row r="421" spans="10:10" ht="18" customHeight="1" x14ac:dyDescent="0.3">
      <c r="J421" s="5"/>
    </row>
    <row r="422" spans="10:10" ht="18" customHeight="1" x14ac:dyDescent="0.3">
      <c r="J422" s="5"/>
    </row>
    <row r="423" spans="10:10" ht="18" customHeight="1" x14ac:dyDescent="0.3">
      <c r="J423" s="5"/>
    </row>
    <row r="424" spans="10:10" ht="18" customHeight="1" x14ac:dyDescent="0.3">
      <c r="J424" s="5"/>
    </row>
    <row r="425" spans="10:10" ht="18" customHeight="1" x14ac:dyDescent="0.3">
      <c r="J425" s="5"/>
    </row>
    <row r="426" spans="10:10" ht="18" customHeight="1" x14ac:dyDescent="0.3">
      <c r="J426" s="5"/>
    </row>
    <row r="427" spans="10:10" ht="18" customHeight="1" x14ac:dyDescent="0.3">
      <c r="J427" s="5"/>
    </row>
    <row r="428" spans="10:10" ht="18" customHeight="1" x14ac:dyDescent="0.3">
      <c r="J428" s="5"/>
    </row>
    <row r="429" spans="10:10" ht="18" customHeight="1" x14ac:dyDescent="0.3">
      <c r="J429" s="5"/>
    </row>
    <row r="430" spans="10:10" ht="18" customHeight="1" x14ac:dyDescent="0.3">
      <c r="J430" s="5"/>
    </row>
    <row r="431" spans="10:10" ht="18" customHeight="1" x14ac:dyDescent="0.3">
      <c r="J431" s="5"/>
    </row>
    <row r="432" spans="10:10" ht="18" customHeight="1" x14ac:dyDescent="0.3">
      <c r="J432" s="5"/>
    </row>
    <row r="433" spans="10:10" ht="18" customHeight="1" x14ac:dyDescent="0.3">
      <c r="J433" s="5"/>
    </row>
    <row r="434" spans="10:10" ht="18" customHeight="1" x14ac:dyDescent="0.3">
      <c r="J434" s="5"/>
    </row>
    <row r="435" spans="10:10" ht="18" customHeight="1" x14ac:dyDescent="0.3">
      <c r="J435" s="5"/>
    </row>
    <row r="436" spans="10:10" ht="18" customHeight="1" x14ac:dyDescent="0.3">
      <c r="J436" s="5"/>
    </row>
    <row r="437" spans="10:10" ht="18" customHeight="1" x14ac:dyDescent="0.3">
      <c r="J437" s="5"/>
    </row>
    <row r="438" spans="10:10" ht="18" customHeight="1" x14ac:dyDescent="0.3">
      <c r="J438" s="5"/>
    </row>
    <row r="439" spans="10:10" ht="18" customHeight="1" x14ac:dyDescent="0.3">
      <c r="J439" s="5"/>
    </row>
    <row r="440" spans="10:10" ht="18" customHeight="1" x14ac:dyDescent="0.3">
      <c r="J440" s="5"/>
    </row>
    <row r="441" spans="10:10" ht="18" customHeight="1" x14ac:dyDescent="0.3">
      <c r="J441" s="5"/>
    </row>
    <row r="442" spans="10:10" ht="18" customHeight="1" x14ac:dyDescent="0.3">
      <c r="J442" s="5"/>
    </row>
    <row r="443" spans="10:10" ht="18" customHeight="1" x14ac:dyDescent="0.3">
      <c r="J443" s="5"/>
    </row>
    <row r="444" spans="10:10" ht="18" customHeight="1" x14ac:dyDescent="0.3">
      <c r="J444" s="5"/>
    </row>
    <row r="445" spans="10:10" ht="18" customHeight="1" x14ac:dyDescent="0.3">
      <c r="J445" s="5"/>
    </row>
    <row r="446" spans="10:10" ht="18" customHeight="1" x14ac:dyDescent="0.3">
      <c r="J446" s="5"/>
    </row>
    <row r="447" spans="10:10" ht="18" customHeight="1" x14ac:dyDescent="0.3">
      <c r="J447" s="5"/>
    </row>
    <row r="448" spans="10:10" ht="18" customHeight="1" x14ac:dyDescent="0.3">
      <c r="J448" s="5"/>
    </row>
    <row r="449" spans="10:10" ht="18" customHeight="1" x14ac:dyDescent="0.3">
      <c r="J449" s="5"/>
    </row>
    <row r="450" spans="10:10" ht="18" customHeight="1" x14ac:dyDescent="0.3">
      <c r="J450" s="5"/>
    </row>
    <row r="451" spans="10:10" ht="18" customHeight="1" x14ac:dyDescent="0.3">
      <c r="J451" s="5"/>
    </row>
    <row r="452" spans="10:10" ht="18" customHeight="1" x14ac:dyDescent="0.3">
      <c r="J452" s="5"/>
    </row>
    <row r="453" spans="10:10" ht="18" customHeight="1" x14ac:dyDescent="0.3">
      <c r="J453" s="5"/>
    </row>
    <row r="454" spans="10:10" ht="18" customHeight="1" x14ac:dyDescent="0.3">
      <c r="J454" s="5"/>
    </row>
    <row r="455" spans="10:10" ht="18" customHeight="1" x14ac:dyDescent="0.3">
      <c r="J455" s="5"/>
    </row>
    <row r="456" spans="10:10" ht="18" customHeight="1" x14ac:dyDescent="0.3">
      <c r="J456" s="5"/>
    </row>
    <row r="457" spans="10:10" ht="18" customHeight="1" x14ac:dyDescent="0.3">
      <c r="J457" s="5"/>
    </row>
    <row r="458" spans="10:10" ht="18" customHeight="1" x14ac:dyDescent="0.3">
      <c r="J458" s="5"/>
    </row>
    <row r="459" spans="10:10" ht="18" customHeight="1" x14ac:dyDescent="0.3">
      <c r="J459" s="5"/>
    </row>
    <row r="460" spans="10:10" ht="18" customHeight="1" x14ac:dyDescent="0.3">
      <c r="J460" s="5"/>
    </row>
    <row r="461" spans="10:10" ht="18" customHeight="1" x14ac:dyDescent="0.3">
      <c r="J461" s="5"/>
    </row>
    <row r="462" spans="10:10" ht="18" customHeight="1" x14ac:dyDescent="0.3">
      <c r="J462" s="5"/>
    </row>
    <row r="463" spans="10:10" ht="18" customHeight="1" x14ac:dyDescent="0.3">
      <c r="J463" s="5"/>
    </row>
    <row r="464" spans="10:10" ht="18" customHeight="1" x14ac:dyDescent="0.3">
      <c r="J464" s="5"/>
    </row>
    <row r="465" spans="10:10" ht="18" customHeight="1" x14ac:dyDescent="0.3">
      <c r="J465" s="5"/>
    </row>
    <row r="466" spans="10:10" ht="18" customHeight="1" x14ac:dyDescent="0.3">
      <c r="J466" s="5"/>
    </row>
    <row r="467" spans="10:10" ht="18" customHeight="1" x14ac:dyDescent="0.3">
      <c r="J467" s="5"/>
    </row>
    <row r="468" spans="10:10" ht="18" customHeight="1" x14ac:dyDescent="0.3">
      <c r="J468" s="5"/>
    </row>
    <row r="469" spans="10:10" ht="18" customHeight="1" x14ac:dyDescent="0.3">
      <c r="J469" s="5"/>
    </row>
    <row r="470" spans="10:10" ht="18" customHeight="1" x14ac:dyDescent="0.3">
      <c r="J470" s="5"/>
    </row>
    <row r="471" spans="10:10" ht="18" customHeight="1" x14ac:dyDescent="0.3">
      <c r="J471" s="5"/>
    </row>
    <row r="472" spans="10:10" ht="18" customHeight="1" x14ac:dyDescent="0.3">
      <c r="J472" s="5"/>
    </row>
    <row r="473" spans="10:10" ht="18" customHeight="1" x14ac:dyDescent="0.3">
      <c r="J473" s="5"/>
    </row>
    <row r="474" spans="10:10" ht="18" customHeight="1" x14ac:dyDescent="0.3">
      <c r="J474" s="5"/>
    </row>
    <row r="475" spans="10:10" ht="18" customHeight="1" x14ac:dyDescent="0.3">
      <c r="J475" s="5"/>
    </row>
    <row r="476" spans="10:10" ht="18" customHeight="1" x14ac:dyDescent="0.3">
      <c r="J476" s="5"/>
    </row>
    <row r="477" spans="10:10" ht="18" customHeight="1" x14ac:dyDescent="0.3">
      <c r="J477" s="5"/>
    </row>
    <row r="478" spans="10:10" ht="18" customHeight="1" x14ac:dyDescent="0.3">
      <c r="J478" s="5"/>
    </row>
    <row r="479" spans="10:10" ht="18" customHeight="1" x14ac:dyDescent="0.3">
      <c r="J479" s="5"/>
    </row>
    <row r="480" spans="10:10" ht="18" customHeight="1" x14ac:dyDescent="0.3">
      <c r="J480" s="5"/>
    </row>
    <row r="481" spans="10:10" ht="18" customHeight="1" x14ac:dyDescent="0.3">
      <c r="J481" s="5"/>
    </row>
    <row r="482" spans="10:10" ht="18" customHeight="1" x14ac:dyDescent="0.3">
      <c r="J482" s="5"/>
    </row>
    <row r="483" spans="10:10" ht="18" customHeight="1" x14ac:dyDescent="0.3">
      <c r="J483" s="5"/>
    </row>
    <row r="484" spans="10:10" ht="18" customHeight="1" x14ac:dyDescent="0.3">
      <c r="J484" s="5"/>
    </row>
    <row r="485" spans="10:10" ht="18" customHeight="1" x14ac:dyDescent="0.3">
      <c r="J485" s="5"/>
    </row>
    <row r="486" spans="10:10" ht="18" customHeight="1" x14ac:dyDescent="0.3">
      <c r="J486" s="5"/>
    </row>
    <row r="487" spans="10:10" ht="18" customHeight="1" x14ac:dyDescent="0.3">
      <c r="J487" s="5"/>
    </row>
    <row r="488" spans="10:10" ht="18" customHeight="1" x14ac:dyDescent="0.3">
      <c r="J488" s="5"/>
    </row>
    <row r="489" spans="10:10" ht="18" customHeight="1" x14ac:dyDescent="0.3">
      <c r="J489" s="5"/>
    </row>
    <row r="490" spans="10:10" ht="18" customHeight="1" x14ac:dyDescent="0.3">
      <c r="J490" s="5"/>
    </row>
    <row r="491" spans="10:10" ht="18" customHeight="1" x14ac:dyDescent="0.3">
      <c r="J491" s="5"/>
    </row>
    <row r="492" spans="10:10" ht="18" customHeight="1" x14ac:dyDescent="0.3">
      <c r="J492" s="5"/>
    </row>
    <row r="493" spans="10:10" ht="18" customHeight="1" x14ac:dyDescent="0.3">
      <c r="J493" s="5"/>
    </row>
    <row r="494" spans="10:10" ht="18" customHeight="1" x14ac:dyDescent="0.3">
      <c r="J494" s="5"/>
    </row>
    <row r="495" spans="10:10" ht="18" customHeight="1" x14ac:dyDescent="0.3">
      <c r="J495" s="5"/>
    </row>
    <row r="496" spans="10:10" ht="18" customHeight="1" x14ac:dyDescent="0.3">
      <c r="J496" s="5"/>
    </row>
    <row r="497" spans="10:10" ht="18" customHeight="1" x14ac:dyDescent="0.3">
      <c r="J497" s="5"/>
    </row>
    <row r="498" spans="10:10" ht="18" customHeight="1" x14ac:dyDescent="0.3">
      <c r="J498" s="5"/>
    </row>
    <row r="499" spans="10:10" ht="18" customHeight="1" x14ac:dyDescent="0.3">
      <c r="J499" s="5"/>
    </row>
    <row r="500" spans="10:10" ht="18" customHeight="1" x14ac:dyDescent="0.3">
      <c r="J500" s="5"/>
    </row>
    <row r="501" spans="10:10" ht="18" customHeight="1" x14ac:dyDescent="0.3">
      <c r="J501" s="5"/>
    </row>
    <row r="502" spans="10:10" ht="18" customHeight="1" x14ac:dyDescent="0.3">
      <c r="J502" s="5"/>
    </row>
    <row r="503" spans="10:10" ht="18" customHeight="1" x14ac:dyDescent="0.3">
      <c r="J503" s="5"/>
    </row>
    <row r="504" spans="10:10" ht="18" customHeight="1" x14ac:dyDescent="0.3">
      <c r="J504" s="5"/>
    </row>
    <row r="505" spans="10:10" ht="18" customHeight="1" x14ac:dyDescent="0.3">
      <c r="J505" s="5"/>
    </row>
    <row r="506" spans="10:10" ht="18" customHeight="1" x14ac:dyDescent="0.3">
      <c r="J506" s="5"/>
    </row>
    <row r="507" spans="10:10" ht="18" customHeight="1" x14ac:dyDescent="0.3">
      <c r="J507" s="5"/>
    </row>
    <row r="508" spans="10:10" ht="18" customHeight="1" x14ac:dyDescent="0.3">
      <c r="J508" s="5"/>
    </row>
    <row r="509" spans="10:10" ht="18" customHeight="1" x14ac:dyDescent="0.3">
      <c r="J509" s="5"/>
    </row>
    <row r="510" spans="10:10" ht="18" customHeight="1" x14ac:dyDescent="0.3">
      <c r="J510" s="5"/>
    </row>
    <row r="511" spans="10:10" ht="18" customHeight="1" x14ac:dyDescent="0.3">
      <c r="J511" s="5"/>
    </row>
    <row r="512" spans="10:10" ht="18" customHeight="1" x14ac:dyDescent="0.3">
      <c r="J512" s="5"/>
    </row>
    <row r="513" spans="10:10" ht="18" customHeight="1" x14ac:dyDescent="0.3">
      <c r="J513" s="5"/>
    </row>
    <row r="514" spans="10:10" ht="18" customHeight="1" x14ac:dyDescent="0.3">
      <c r="J514" s="5"/>
    </row>
    <row r="515" spans="10:10" ht="18" customHeight="1" x14ac:dyDescent="0.3">
      <c r="J515" s="5"/>
    </row>
    <row r="516" spans="10:10" ht="18" customHeight="1" x14ac:dyDescent="0.3">
      <c r="J516" s="5"/>
    </row>
    <row r="517" spans="10:10" ht="18" customHeight="1" x14ac:dyDescent="0.3">
      <c r="J517" s="5"/>
    </row>
    <row r="518" spans="10:10" ht="18" customHeight="1" x14ac:dyDescent="0.3">
      <c r="J518" s="5"/>
    </row>
    <row r="519" spans="10:10" ht="18" customHeight="1" x14ac:dyDescent="0.3">
      <c r="J519" s="5"/>
    </row>
    <row r="520" spans="10:10" ht="18" customHeight="1" x14ac:dyDescent="0.3">
      <c r="J520" s="5"/>
    </row>
    <row r="521" spans="10:10" ht="18" customHeight="1" x14ac:dyDescent="0.3">
      <c r="J521" s="5"/>
    </row>
    <row r="522" spans="10:10" ht="18" customHeight="1" x14ac:dyDescent="0.3">
      <c r="J522" s="5"/>
    </row>
    <row r="523" spans="10:10" ht="18" customHeight="1" x14ac:dyDescent="0.3">
      <c r="J523" s="5"/>
    </row>
    <row r="524" spans="10:10" ht="18" customHeight="1" x14ac:dyDescent="0.3">
      <c r="J524" s="5"/>
    </row>
    <row r="525" spans="10:10" ht="18" customHeight="1" x14ac:dyDescent="0.3">
      <c r="J525" s="5"/>
    </row>
    <row r="526" spans="10:10" ht="18" customHeight="1" x14ac:dyDescent="0.3">
      <c r="J526" s="5"/>
    </row>
    <row r="527" spans="10:10" ht="18" customHeight="1" x14ac:dyDescent="0.3">
      <c r="J527" s="5"/>
    </row>
    <row r="528" spans="10:10" ht="18" customHeight="1" x14ac:dyDescent="0.3">
      <c r="J528" s="5"/>
    </row>
    <row r="529" spans="10:10" ht="18" customHeight="1" x14ac:dyDescent="0.3">
      <c r="J529" s="5"/>
    </row>
    <row r="530" spans="10:10" ht="18" customHeight="1" x14ac:dyDescent="0.3">
      <c r="J530" s="5"/>
    </row>
    <row r="531" spans="10:10" ht="18" customHeight="1" x14ac:dyDescent="0.3">
      <c r="J531" s="5"/>
    </row>
    <row r="532" spans="10:10" ht="18" customHeight="1" x14ac:dyDescent="0.3">
      <c r="J532" s="5"/>
    </row>
    <row r="533" spans="10:10" ht="18" customHeight="1" x14ac:dyDescent="0.3">
      <c r="J533" s="5"/>
    </row>
    <row r="534" spans="10:10" ht="18" customHeight="1" x14ac:dyDescent="0.3">
      <c r="J534" s="5"/>
    </row>
    <row r="535" spans="10:10" ht="18" customHeight="1" x14ac:dyDescent="0.3">
      <c r="J535" s="5"/>
    </row>
    <row r="536" spans="10:10" ht="18" customHeight="1" x14ac:dyDescent="0.3">
      <c r="J536" s="5"/>
    </row>
    <row r="537" spans="10:10" ht="18" customHeight="1" x14ac:dyDescent="0.3">
      <c r="J537" s="5"/>
    </row>
    <row r="538" spans="10:10" ht="18" customHeight="1" x14ac:dyDescent="0.3">
      <c r="J538" s="5"/>
    </row>
    <row r="539" spans="10:10" ht="18" customHeight="1" x14ac:dyDescent="0.3">
      <c r="J539" s="5"/>
    </row>
    <row r="540" spans="10:10" ht="18" customHeight="1" x14ac:dyDescent="0.3">
      <c r="J540" s="5"/>
    </row>
    <row r="541" spans="10:10" ht="18" customHeight="1" x14ac:dyDescent="0.3">
      <c r="J541" s="5"/>
    </row>
    <row r="542" spans="10:10" ht="18" customHeight="1" x14ac:dyDescent="0.3">
      <c r="J542" s="5"/>
    </row>
    <row r="543" spans="10:10" ht="18" customHeight="1" x14ac:dyDescent="0.3">
      <c r="J543" s="5"/>
    </row>
    <row r="544" spans="10:10" ht="18" customHeight="1" x14ac:dyDescent="0.3">
      <c r="J544" s="5"/>
    </row>
    <row r="545" spans="10:10" ht="18" customHeight="1" x14ac:dyDescent="0.3">
      <c r="J545" s="5"/>
    </row>
    <row r="546" spans="10:10" ht="18" customHeight="1" x14ac:dyDescent="0.3">
      <c r="J546" s="5"/>
    </row>
    <row r="547" spans="10:10" ht="18" customHeight="1" x14ac:dyDescent="0.3">
      <c r="J547" s="5"/>
    </row>
    <row r="548" spans="10:10" ht="18" customHeight="1" x14ac:dyDescent="0.3">
      <c r="J548" s="5"/>
    </row>
    <row r="549" spans="10:10" ht="18" customHeight="1" x14ac:dyDescent="0.3">
      <c r="J549" s="5"/>
    </row>
    <row r="550" spans="10:10" ht="18" customHeight="1" x14ac:dyDescent="0.3">
      <c r="J550" s="5"/>
    </row>
    <row r="551" spans="10:10" ht="18" customHeight="1" x14ac:dyDescent="0.3">
      <c r="J551" s="5"/>
    </row>
    <row r="552" spans="10:10" ht="18" customHeight="1" x14ac:dyDescent="0.3">
      <c r="J552" s="5"/>
    </row>
    <row r="553" spans="10:10" ht="18" customHeight="1" x14ac:dyDescent="0.3">
      <c r="J553" s="5"/>
    </row>
    <row r="554" spans="10:10" ht="18" customHeight="1" x14ac:dyDescent="0.3">
      <c r="J554" s="5"/>
    </row>
    <row r="555" spans="10:10" ht="18" customHeight="1" x14ac:dyDescent="0.3">
      <c r="J555" s="5"/>
    </row>
    <row r="556" spans="10:10" ht="18" customHeight="1" x14ac:dyDescent="0.3">
      <c r="J556" s="5"/>
    </row>
    <row r="557" spans="10:10" ht="18" customHeight="1" x14ac:dyDescent="0.3">
      <c r="J557" s="5"/>
    </row>
    <row r="558" spans="10:10" ht="18" customHeight="1" x14ac:dyDescent="0.3">
      <c r="J558" s="5"/>
    </row>
    <row r="559" spans="10:10" ht="18" customHeight="1" x14ac:dyDescent="0.3">
      <c r="J559" s="5"/>
    </row>
    <row r="560" spans="10:10" ht="18" customHeight="1" x14ac:dyDescent="0.3">
      <c r="J560" s="5"/>
    </row>
    <row r="561" spans="10:10" ht="18" customHeight="1" x14ac:dyDescent="0.3">
      <c r="J561" s="5"/>
    </row>
    <row r="562" spans="10:10" ht="18" customHeight="1" x14ac:dyDescent="0.3">
      <c r="J562" s="5"/>
    </row>
    <row r="563" spans="10:10" ht="18" customHeight="1" x14ac:dyDescent="0.3">
      <c r="J563" s="5"/>
    </row>
    <row r="564" spans="10:10" ht="18" customHeight="1" x14ac:dyDescent="0.3">
      <c r="J564" s="5"/>
    </row>
    <row r="565" spans="10:10" ht="18" customHeight="1" x14ac:dyDescent="0.3">
      <c r="J565" s="5"/>
    </row>
    <row r="566" spans="10:10" ht="18" customHeight="1" x14ac:dyDescent="0.3">
      <c r="J566" s="5"/>
    </row>
    <row r="567" spans="10:10" ht="18" customHeight="1" x14ac:dyDescent="0.3">
      <c r="J567" s="5"/>
    </row>
    <row r="568" spans="10:10" ht="18" customHeight="1" x14ac:dyDescent="0.3">
      <c r="J568" s="5"/>
    </row>
    <row r="569" spans="10:10" ht="18" customHeight="1" x14ac:dyDescent="0.3">
      <c r="J569" s="5"/>
    </row>
    <row r="570" spans="10:10" ht="18" customHeight="1" x14ac:dyDescent="0.3">
      <c r="J570" s="5"/>
    </row>
    <row r="571" spans="10:10" ht="18" customHeight="1" x14ac:dyDescent="0.3">
      <c r="J571" s="5"/>
    </row>
    <row r="572" spans="10:10" ht="18" customHeight="1" x14ac:dyDescent="0.3">
      <c r="J572" s="5"/>
    </row>
    <row r="573" spans="10:10" ht="18" customHeight="1" x14ac:dyDescent="0.3">
      <c r="J573" s="5"/>
    </row>
    <row r="574" spans="10:10" ht="18" customHeight="1" x14ac:dyDescent="0.3">
      <c r="J574" s="5"/>
    </row>
    <row r="575" spans="10:10" ht="18" customHeight="1" x14ac:dyDescent="0.3">
      <c r="J575" s="5"/>
    </row>
    <row r="576" spans="10:10" ht="18" customHeight="1" x14ac:dyDescent="0.3">
      <c r="J576" s="5"/>
    </row>
    <row r="577" spans="10:10" ht="18" customHeight="1" x14ac:dyDescent="0.3">
      <c r="J577" s="5"/>
    </row>
    <row r="578" spans="10:10" ht="18" customHeight="1" x14ac:dyDescent="0.3">
      <c r="J578" s="5"/>
    </row>
    <row r="579" spans="10:10" ht="18" customHeight="1" x14ac:dyDescent="0.3">
      <c r="J579" s="5"/>
    </row>
    <row r="580" spans="10:10" ht="18" customHeight="1" x14ac:dyDescent="0.3">
      <c r="J580" s="5"/>
    </row>
    <row r="581" spans="10:10" ht="18" customHeight="1" x14ac:dyDescent="0.3">
      <c r="J581" s="5"/>
    </row>
    <row r="582" spans="10:10" ht="18" customHeight="1" x14ac:dyDescent="0.3">
      <c r="J582" s="5"/>
    </row>
    <row r="583" spans="10:10" ht="18" customHeight="1" x14ac:dyDescent="0.3">
      <c r="J583" s="5"/>
    </row>
    <row r="584" spans="10:10" ht="18" customHeight="1" x14ac:dyDescent="0.3">
      <c r="J584" s="5"/>
    </row>
    <row r="585" spans="10:10" ht="18" customHeight="1" x14ac:dyDescent="0.3">
      <c r="J585" s="5"/>
    </row>
    <row r="586" spans="10:10" ht="18" customHeight="1" x14ac:dyDescent="0.3">
      <c r="J586" s="5"/>
    </row>
    <row r="587" spans="10:10" ht="18" customHeight="1" x14ac:dyDescent="0.3">
      <c r="J587" s="5"/>
    </row>
    <row r="588" spans="10:10" ht="18" customHeight="1" x14ac:dyDescent="0.3">
      <c r="J588" s="5"/>
    </row>
    <row r="589" spans="10:10" ht="18" customHeight="1" x14ac:dyDescent="0.3">
      <c r="J589" s="5"/>
    </row>
    <row r="590" spans="10:10" ht="18" customHeight="1" x14ac:dyDescent="0.3">
      <c r="J590" s="5"/>
    </row>
    <row r="591" spans="10:10" ht="18" customHeight="1" x14ac:dyDescent="0.3">
      <c r="J591" s="5"/>
    </row>
    <row r="592" spans="10:10" ht="18" customHeight="1" x14ac:dyDescent="0.3">
      <c r="J592" s="5"/>
    </row>
    <row r="593" spans="10:10" ht="18" customHeight="1" x14ac:dyDescent="0.3">
      <c r="J593" s="5"/>
    </row>
    <row r="594" spans="10:10" ht="18" customHeight="1" x14ac:dyDescent="0.3">
      <c r="J594" s="5"/>
    </row>
    <row r="595" spans="10:10" ht="18" customHeight="1" x14ac:dyDescent="0.3">
      <c r="J595" s="5"/>
    </row>
    <row r="596" spans="10:10" ht="18" customHeight="1" x14ac:dyDescent="0.3">
      <c r="J596" s="5"/>
    </row>
    <row r="597" spans="10:10" ht="18" customHeight="1" x14ac:dyDescent="0.3">
      <c r="J597" s="5"/>
    </row>
    <row r="598" spans="10:10" ht="18" customHeight="1" x14ac:dyDescent="0.3">
      <c r="J598" s="5"/>
    </row>
    <row r="599" spans="10:10" ht="18" customHeight="1" x14ac:dyDescent="0.3">
      <c r="J599" s="5"/>
    </row>
    <row r="600" spans="10:10" ht="18" customHeight="1" x14ac:dyDescent="0.3">
      <c r="J600" s="5"/>
    </row>
    <row r="601" spans="10:10" ht="18" customHeight="1" x14ac:dyDescent="0.3">
      <c r="J601" s="5"/>
    </row>
    <row r="602" spans="10:10" ht="18" customHeight="1" x14ac:dyDescent="0.3">
      <c r="J602" s="5"/>
    </row>
    <row r="603" spans="10:10" ht="18" customHeight="1" x14ac:dyDescent="0.3">
      <c r="J603" s="5"/>
    </row>
    <row r="604" spans="10:10" ht="18" customHeight="1" x14ac:dyDescent="0.3">
      <c r="J604" s="5"/>
    </row>
    <row r="605" spans="10:10" ht="18" customHeight="1" x14ac:dyDescent="0.3">
      <c r="J605" s="5"/>
    </row>
    <row r="606" spans="10:10" ht="18" customHeight="1" x14ac:dyDescent="0.3">
      <c r="J606" s="5"/>
    </row>
    <row r="607" spans="10:10" ht="18" customHeight="1" x14ac:dyDescent="0.3">
      <c r="J607" s="5"/>
    </row>
    <row r="608" spans="10:10" ht="18" customHeight="1" x14ac:dyDescent="0.3">
      <c r="J608" s="5"/>
    </row>
    <row r="609" spans="10:10" ht="18" customHeight="1" x14ac:dyDescent="0.3">
      <c r="J609" s="5"/>
    </row>
    <row r="610" spans="10:10" ht="18" customHeight="1" x14ac:dyDescent="0.3">
      <c r="J610" s="5"/>
    </row>
    <row r="611" spans="10:10" ht="18" customHeight="1" x14ac:dyDescent="0.3">
      <c r="J611" s="5"/>
    </row>
    <row r="612" spans="10:10" ht="18" customHeight="1" x14ac:dyDescent="0.3">
      <c r="J612" s="5"/>
    </row>
    <row r="613" spans="10:10" ht="18" customHeight="1" x14ac:dyDescent="0.3">
      <c r="J613" s="5"/>
    </row>
    <row r="614" spans="10:10" ht="18" customHeight="1" x14ac:dyDescent="0.3">
      <c r="J614" s="5"/>
    </row>
    <row r="615" spans="10:10" ht="18" customHeight="1" x14ac:dyDescent="0.3">
      <c r="J615" s="5"/>
    </row>
    <row r="616" spans="10:10" ht="18" customHeight="1" x14ac:dyDescent="0.3">
      <c r="J616" s="5"/>
    </row>
    <row r="617" spans="10:10" ht="18" customHeight="1" x14ac:dyDescent="0.3">
      <c r="J617" s="5"/>
    </row>
    <row r="618" spans="10:10" ht="18" customHeight="1" x14ac:dyDescent="0.3">
      <c r="J618" s="5"/>
    </row>
    <row r="619" spans="10:10" ht="18" customHeight="1" x14ac:dyDescent="0.3">
      <c r="J619" s="5"/>
    </row>
    <row r="620" spans="10:10" ht="18" customHeight="1" x14ac:dyDescent="0.3">
      <c r="J620" s="5"/>
    </row>
    <row r="621" spans="10:10" ht="18" customHeight="1" x14ac:dyDescent="0.3">
      <c r="J621" s="5"/>
    </row>
    <row r="622" spans="10:10" ht="18" customHeight="1" x14ac:dyDescent="0.3">
      <c r="J622" s="5"/>
    </row>
    <row r="623" spans="10:10" ht="18" customHeight="1" x14ac:dyDescent="0.3">
      <c r="J623" s="5"/>
    </row>
    <row r="624" spans="10:10" ht="18" customHeight="1" x14ac:dyDescent="0.3">
      <c r="J624" s="5"/>
    </row>
    <row r="625" spans="10:10" ht="18" customHeight="1" x14ac:dyDescent="0.3">
      <c r="J625" s="5"/>
    </row>
    <row r="626" spans="10:10" ht="18" customHeight="1" x14ac:dyDescent="0.3">
      <c r="J626" s="5"/>
    </row>
    <row r="627" spans="10:10" ht="18" customHeight="1" x14ac:dyDescent="0.3">
      <c r="J627" s="5"/>
    </row>
    <row r="628" spans="10:10" ht="18" customHeight="1" x14ac:dyDescent="0.3">
      <c r="J628" s="5"/>
    </row>
    <row r="629" spans="10:10" ht="18" customHeight="1" x14ac:dyDescent="0.3">
      <c r="J629" s="5"/>
    </row>
    <row r="630" spans="10:10" ht="18" customHeight="1" x14ac:dyDescent="0.3">
      <c r="J630" s="5"/>
    </row>
    <row r="631" spans="10:10" ht="18" customHeight="1" x14ac:dyDescent="0.3">
      <c r="J631" s="5"/>
    </row>
    <row r="632" spans="10:10" ht="18" customHeight="1" x14ac:dyDescent="0.3">
      <c r="J632" s="5"/>
    </row>
    <row r="633" spans="10:10" ht="18" customHeight="1" x14ac:dyDescent="0.3">
      <c r="J633" s="5"/>
    </row>
    <row r="634" spans="10:10" ht="18" customHeight="1" x14ac:dyDescent="0.3">
      <c r="J634" s="5"/>
    </row>
    <row r="635" spans="10:10" ht="18" customHeight="1" x14ac:dyDescent="0.3">
      <c r="J635" s="5"/>
    </row>
    <row r="636" spans="10:10" ht="18" customHeight="1" x14ac:dyDescent="0.3">
      <c r="J636" s="5"/>
    </row>
    <row r="637" spans="10:10" ht="18" customHeight="1" x14ac:dyDescent="0.3">
      <c r="J637" s="5"/>
    </row>
    <row r="638" spans="10:10" ht="18" customHeight="1" x14ac:dyDescent="0.3">
      <c r="J638" s="5"/>
    </row>
    <row r="639" spans="10:10" ht="18" customHeight="1" x14ac:dyDescent="0.3">
      <c r="J639" s="5"/>
    </row>
    <row r="640" spans="10:10" ht="18" customHeight="1" x14ac:dyDescent="0.3">
      <c r="J640" s="5"/>
    </row>
    <row r="641" spans="10:10" ht="18" customHeight="1" x14ac:dyDescent="0.3">
      <c r="J641" s="5"/>
    </row>
    <row r="642" spans="10:10" ht="18" customHeight="1" x14ac:dyDescent="0.3">
      <c r="J642" s="5"/>
    </row>
    <row r="643" spans="10:10" ht="18" customHeight="1" x14ac:dyDescent="0.3">
      <c r="J643" s="5"/>
    </row>
    <row r="644" spans="10:10" ht="18" customHeight="1" x14ac:dyDescent="0.3">
      <c r="J644" s="5"/>
    </row>
    <row r="645" spans="10:10" ht="18" customHeight="1" x14ac:dyDescent="0.3">
      <c r="J645" s="5"/>
    </row>
    <row r="646" spans="10:10" ht="18" customHeight="1" x14ac:dyDescent="0.3">
      <c r="J646" s="5"/>
    </row>
    <row r="647" spans="10:10" ht="18" customHeight="1" x14ac:dyDescent="0.3">
      <c r="J647" s="5"/>
    </row>
    <row r="648" spans="10:10" ht="18" customHeight="1" x14ac:dyDescent="0.3">
      <c r="J648" s="5"/>
    </row>
    <row r="649" spans="10:10" ht="18" customHeight="1" x14ac:dyDescent="0.3">
      <c r="J649" s="5"/>
    </row>
    <row r="650" spans="10:10" ht="18" customHeight="1" x14ac:dyDescent="0.3">
      <c r="J650" s="5"/>
    </row>
    <row r="651" spans="10:10" ht="18" customHeight="1" x14ac:dyDescent="0.3">
      <c r="J651" s="5"/>
    </row>
    <row r="652" spans="10:10" ht="18" customHeight="1" x14ac:dyDescent="0.3">
      <c r="J652" s="5"/>
    </row>
    <row r="653" spans="10:10" ht="18" customHeight="1" x14ac:dyDescent="0.3">
      <c r="J653" s="5"/>
    </row>
    <row r="654" spans="10:10" ht="18" customHeight="1" x14ac:dyDescent="0.3">
      <c r="J654" s="5"/>
    </row>
    <row r="655" spans="10:10" ht="18" customHeight="1" x14ac:dyDescent="0.3">
      <c r="J655" s="5"/>
    </row>
    <row r="656" spans="10:10" ht="18" customHeight="1" x14ac:dyDescent="0.3">
      <c r="J656" s="5"/>
    </row>
    <row r="657" spans="10:10" ht="18" customHeight="1" x14ac:dyDescent="0.3">
      <c r="J657" s="5"/>
    </row>
    <row r="658" spans="10:10" ht="18" customHeight="1" x14ac:dyDescent="0.3">
      <c r="J658" s="5"/>
    </row>
    <row r="659" spans="10:10" ht="18" customHeight="1" x14ac:dyDescent="0.3">
      <c r="J659" s="5"/>
    </row>
    <row r="660" spans="10:10" ht="18" customHeight="1" x14ac:dyDescent="0.3">
      <c r="J660" s="5"/>
    </row>
    <row r="661" spans="10:10" ht="18" customHeight="1" x14ac:dyDescent="0.3">
      <c r="J661" s="5"/>
    </row>
    <row r="662" spans="10:10" ht="18" customHeight="1" x14ac:dyDescent="0.3">
      <c r="J662" s="5"/>
    </row>
    <row r="663" spans="10:10" ht="18" customHeight="1" x14ac:dyDescent="0.3">
      <c r="J663" s="5"/>
    </row>
    <row r="664" spans="10:10" ht="18" customHeight="1" x14ac:dyDescent="0.3">
      <c r="J664" s="5"/>
    </row>
    <row r="665" spans="10:10" ht="18" customHeight="1" x14ac:dyDescent="0.3">
      <c r="J665" s="5"/>
    </row>
    <row r="666" spans="10:10" ht="18" customHeight="1" x14ac:dyDescent="0.3">
      <c r="J666" s="5"/>
    </row>
    <row r="667" spans="10:10" ht="18" customHeight="1" x14ac:dyDescent="0.3">
      <c r="J667" s="5"/>
    </row>
    <row r="668" spans="10:10" ht="18" customHeight="1" x14ac:dyDescent="0.3">
      <c r="J668" s="5"/>
    </row>
    <row r="669" spans="10:10" ht="18" customHeight="1" x14ac:dyDescent="0.3">
      <c r="J669" s="5"/>
    </row>
    <row r="670" spans="10:10" ht="18" customHeight="1" x14ac:dyDescent="0.3">
      <c r="J670" s="5"/>
    </row>
    <row r="671" spans="10:10" ht="18" customHeight="1" x14ac:dyDescent="0.3">
      <c r="J671" s="5"/>
    </row>
    <row r="672" spans="10:10" ht="18" customHeight="1" x14ac:dyDescent="0.3">
      <c r="J672" s="5"/>
    </row>
    <row r="673" spans="10:10" ht="18" customHeight="1" x14ac:dyDescent="0.3">
      <c r="J673" s="5"/>
    </row>
    <row r="674" spans="10:10" ht="18" customHeight="1" x14ac:dyDescent="0.3">
      <c r="J674" s="5"/>
    </row>
    <row r="675" spans="10:10" ht="18" customHeight="1" x14ac:dyDescent="0.3">
      <c r="J675" s="5"/>
    </row>
    <row r="676" spans="10:10" ht="18" customHeight="1" x14ac:dyDescent="0.3">
      <c r="J676" s="5"/>
    </row>
    <row r="677" spans="10:10" ht="18" customHeight="1" x14ac:dyDescent="0.3">
      <c r="J677" s="5"/>
    </row>
    <row r="678" spans="10:10" ht="18" customHeight="1" x14ac:dyDescent="0.3">
      <c r="J678" s="5"/>
    </row>
    <row r="679" spans="10:10" ht="18" customHeight="1" x14ac:dyDescent="0.3">
      <c r="J679" s="5"/>
    </row>
    <row r="680" spans="10:10" ht="18" customHeight="1" x14ac:dyDescent="0.3">
      <c r="J680" s="5"/>
    </row>
    <row r="681" spans="10:10" ht="18" customHeight="1" x14ac:dyDescent="0.3">
      <c r="J681" s="5"/>
    </row>
    <row r="682" spans="10:10" ht="18" customHeight="1" x14ac:dyDescent="0.3">
      <c r="J682" s="5"/>
    </row>
    <row r="683" spans="10:10" ht="18" customHeight="1" x14ac:dyDescent="0.3">
      <c r="J683" s="5"/>
    </row>
    <row r="684" spans="10:10" ht="18" customHeight="1" x14ac:dyDescent="0.3">
      <c r="J684" s="5"/>
    </row>
    <row r="685" spans="10:10" ht="18" customHeight="1" x14ac:dyDescent="0.3">
      <c r="J685" s="5"/>
    </row>
    <row r="686" spans="10:10" ht="18" customHeight="1" x14ac:dyDescent="0.3">
      <c r="J686" s="5"/>
    </row>
    <row r="687" spans="10:10" ht="18" customHeight="1" x14ac:dyDescent="0.3">
      <c r="J687" s="5"/>
    </row>
    <row r="688" spans="10:10" ht="18" customHeight="1" x14ac:dyDescent="0.3">
      <c r="J688" s="5"/>
    </row>
    <row r="689" spans="10:10" ht="18" customHeight="1" x14ac:dyDescent="0.3">
      <c r="J689" s="5"/>
    </row>
    <row r="690" spans="10:10" ht="18" customHeight="1" x14ac:dyDescent="0.3">
      <c r="J690" s="5"/>
    </row>
    <row r="691" spans="10:10" ht="18" customHeight="1" x14ac:dyDescent="0.3">
      <c r="J691" s="5"/>
    </row>
    <row r="692" spans="10:10" ht="18" customHeight="1" x14ac:dyDescent="0.3">
      <c r="J692" s="5"/>
    </row>
    <row r="693" spans="10:10" ht="18" customHeight="1" x14ac:dyDescent="0.3">
      <c r="J693" s="5"/>
    </row>
    <row r="694" spans="10:10" ht="18" customHeight="1" x14ac:dyDescent="0.3">
      <c r="J694" s="5"/>
    </row>
    <row r="695" spans="10:10" ht="18" customHeight="1" x14ac:dyDescent="0.3">
      <c r="J695" s="5"/>
    </row>
    <row r="696" spans="10:10" ht="18" customHeight="1" x14ac:dyDescent="0.3">
      <c r="J696" s="5"/>
    </row>
    <row r="697" spans="10:10" ht="18" customHeight="1" x14ac:dyDescent="0.3">
      <c r="J697" s="5"/>
    </row>
    <row r="698" spans="10:10" ht="18" customHeight="1" x14ac:dyDescent="0.3">
      <c r="J698" s="5"/>
    </row>
    <row r="699" spans="10:10" ht="18" customHeight="1" x14ac:dyDescent="0.3">
      <c r="J699" s="5"/>
    </row>
    <row r="700" spans="10:10" ht="18" customHeight="1" x14ac:dyDescent="0.3">
      <c r="J700" s="5"/>
    </row>
    <row r="701" spans="10:10" ht="18" customHeight="1" x14ac:dyDescent="0.3">
      <c r="J701" s="5"/>
    </row>
    <row r="702" spans="10:10" ht="18" customHeight="1" x14ac:dyDescent="0.3">
      <c r="J702" s="5"/>
    </row>
    <row r="703" spans="10:10" ht="18" customHeight="1" x14ac:dyDescent="0.3">
      <c r="J703" s="5"/>
    </row>
    <row r="704" spans="10:10" ht="18" customHeight="1" x14ac:dyDescent="0.3">
      <c r="J704" s="5"/>
    </row>
    <row r="705" spans="10:10" ht="18" customHeight="1" x14ac:dyDescent="0.3">
      <c r="J705" s="5"/>
    </row>
    <row r="706" spans="10:10" ht="18" customHeight="1" x14ac:dyDescent="0.3">
      <c r="J706" s="5"/>
    </row>
    <row r="707" spans="10:10" ht="18" customHeight="1" x14ac:dyDescent="0.3">
      <c r="J707" s="5"/>
    </row>
    <row r="708" spans="10:10" ht="18" customHeight="1" x14ac:dyDescent="0.3">
      <c r="J708" s="5"/>
    </row>
    <row r="709" spans="10:10" ht="18" customHeight="1" x14ac:dyDescent="0.3">
      <c r="J709" s="5"/>
    </row>
    <row r="710" spans="10:10" ht="18" customHeight="1" x14ac:dyDescent="0.3">
      <c r="J710" s="5"/>
    </row>
    <row r="711" spans="10:10" ht="18" customHeight="1" x14ac:dyDescent="0.3">
      <c r="J711" s="5"/>
    </row>
    <row r="712" spans="10:10" ht="18" customHeight="1" x14ac:dyDescent="0.3">
      <c r="J712" s="5"/>
    </row>
    <row r="713" spans="10:10" ht="18" customHeight="1" x14ac:dyDescent="0.3">
      <c r="J713" s="5"/>
    </row>
    <row r="714" spans="10:10" ht="18" customHeight="1" x14ac:dyDescent="0.3">
      <c r="J714" s="5"/>
    </row>
    <row r="715" spans="10:10" ht="18" customHeight="1" x14ac:dyDescent="0.3">
      <c r="J715" s="5"/>
    </row>
    <row r="716" spans="10:10" ht="18" customHeight="1" x14ac:dyDescent="0.3">
      <c r="J716" s="5"/>
    </row>
    <row r="717" spans="10:10" ht="18" customHeight="1" x14ac:dyDescent="0.3">
      <c r="J717" s="5"/>
    </row>
    <row r="718" spans="10:10" ht="18" customHeight="1" x14ac:dyDescent="0.3">
      <c r="J718" s="5"/>
    </row>
    <row r="719" spans="10:10" ht="18" customHeight="1" x14ac:dyDescent="0.3">
      <c r="J719" s="5"/>
    </row>
    <row r="720" spans="10:10" ht="18" customHeight="1" x14ac:dyDescent="0.3">
      <c r="J720" s="5"/>
    </row>
    <row r="721" spans="10:10" ht="18" customHeight="1" x14ac:dyDescent="0.3">
      <c r="J721" s="5"/>
    </row>
    <row r="722" spans="10:10" ht="18" customHeight="1" x14ac:dyDescent="0.3">
      <c r="J722" s="5"/>
    </row>
    <row r="723" spans="10:10" ht="18" customHeight="1" x14ac:dyDescent="0.3">
      <c r="J723" s="5"/>
    </row>
    <row r="724" spans="10:10" ht="18" customHeight="1" x14ac:dyDescent="0.3">
      <c r="J724" s="5"/>
    </row>
    <row r="725" spans="10:10" ht="18" customHeight="1" x14ac:dyDescent="0.3">
      <c r="J725" s="5"/>
    </row>
    <row r="726" spans="10:10" ht="18" customHeight="1" x14ac:dyDescent="0.3">
      <c r="J726" s="5"/>
    </row>
    <row r="727" spans="10:10" ht="18" customHeight="1" x14ac:dyDescent="0.3">
      <c r="J727" s="5"/>
    </row>
    <row r="728" spans="10:10" ht="18" customHeight="1" x14ac:dyDescent="0.3">
      <c r="J728" s="5"/>
    </row>
    <row r="729" spans="10:10" ht="18" customHeight="1" x14ac:dyDescent="0.3">
      <c r="J729" s="5"/>
    </row>
    <row r="730" spans="10:10" ht="18" customHeight="1" x14ac:dyDescent="0.3">
      <c r="J730" s="5"/>
    </row>
    <row r="731" spans="10:10" ht="18" customHeight="1" x14ac:dyDescent="0.3">
      <c r="J731" s="5"/>
    </row>
    <row r="732" spans="10:10" ht="18" customHeight="1" x14ac:dyDescent="0.3">
      <c r="J732" s="5"/>
    </row>
    <row r="733" spans="10:10" ht="18" customHeight="1" x14ac:dyDescent="0.3">
      <c r="J733" s="5"/>
    </row>
    <row r="734" spans="10:10" ht="18" customHeight="1" x14ac:dyDescent="0.3">
      <c r="J734" s="5"/>
    </row>
    <row r="735" spans="10:10" ht="18" customHeight="1" x14ac:dyDescent="0.3">
      <c r="J735" s="5"/>
    </row>
    <row r="736" spans="10:10" ht="18" customHeight="1" x14ac:dyDescent="0.3">
      <c r="J736" s="5"/>
    </row>
    <row r="737" spans="10:10" ht="18" customHeight="1" x14ac:dyDescent="0.3">
      <c r="J737" s="5"/>
    </row>
    <row r="738" spans="10:10" ht="18" customHeight="1" x14ac:dyDescent="0.3">
      <c r="J738" s="5"/>
    </row>
    <row r="739" spans="10:10" ht="18" customHeight="1" x14ac:dyDescent="0.3">
      <c r="J739" s="5"/>
    </row>
    <row r="740" spans="10:10" ht="18" customHeight="1" x14ac:dyDescent="0.3">
      <c r="J740" s="5"/>
    </row>
    <row r="741" spans="10:10" ht="18" customHeight="1" x14ac:dyDescent="0.3">
      <c r="J741" s="5"/>
    </row>
    <row r="742" spans="10:10" ht="18" customHeight="1" x14ac:dyDescent="0.3">
      <c r="J742" s="5"/>
    </row>
    <row r="743" spans="10:10" ht="18" customHeight="1" x14ac:dyDescent="0.3">
      <c r="J743" s="5"/>
    </row>
    <row r="744" spans="10:10" ht="18" customHeight="1" x14ac:dyDescent="0.3">
      <c r="J744" s="5"/>
    </row>
    <row r="745" spans="10:10" ht="18" customHeight="1" x14ac:dyDescent="0.3">
      <c r="J745" s="5"/>
    </row>
    <row r="746" spans="10:10" ht="18" customHeight="1" x14ac:dyDescent="0.3">
      <c r="J746" s="5"/>
    </row>
    <row r="747" spans="10:10" ht="18" customHeight="1" x14ac:dyDescent="0.3">
      <c r="J747" s="5"/>
    </row>
    <row r="748" spans="10:10" ht="18" customHeight="1" x14ac:dyDescent="0.3">
      <c r="J748" s="5"/>
    </row>
    <row r="749" spans="10:10" ht="18" customHeight="1" x14ac:dyDescent="0.3">
      <c r="J749" s="5"/>
    </row>
    <row r="750" spans="10:10" ht="18" customHeight="1" x14ac:dyDescent="0.3">
      <c r="J750" s="5"/>
    </row>
    <row r="751" spans="10:10" ht="18" customHeight="1" x14ac:dyDescent="0.3">
      <c r="J751" s="5"/>
    </row>
    <row r="752" spans="10:10" ht="18" customHeight="1" x14ac:dyDescent="0.3">
      <c r="J752" s="5"/>
    </row>
    <row r="753" spans="10:10" ht="18" customHeight="1" x14ac:dyDescent="0.3">
      <c r="J753" s="5"/>
    </row>
    <row r="754" spans="10:10" ht="18" customHeight="1" x14ac:dyDescent="0.3">
      <c r="J754" s="5"/>
    </row>
    <row r="755" spans="10:10" ht="18" customHeight="1" x14ac:dyDescent="0.3">
      <c r="J755" s="5"/>
    </row>
    <row r="756" spans="10:10" ht="18" customHeight="1" x14ac:dyDescent="0.3">
      <c r="J756" s="5"/>
    </row>
    <row r="757" spans="10:10" ht="18" customHeight="1" x14ac:dyDescent="0.3">
      <c r="J757" s="5"/>
    </row>
    <row r="758" spans="10:10" ht="18" customHeight="1" x14ac:dyDescent="0.3">
      <c r="J758" s="5"/>
    </row>
    <row r="759" spans="10:10" ht="18" customHeight="1" x14ac:dyDescent="0.3">
      <c r="J759" s="5"/>
    </row>
    <row r="760" spans="10:10" ht="18" customHeight="1" x14ac:dyDescent="0.3">
      <c r="J760" s="5"/>
    </row>
    <row r="761" spans="10:10" ht="18" customHeight="1" x14ac:dyDescent="0.3">
      <c r="J761" s="5"/>
    </row>
    <row r="762" spans="10:10" ht="18" customHeight="1" x14ac:dyDescent="0.3">
      <c r="J762" s="5"/>
    </row>
    <row r="763" spans="10:10" ht="18" customHeight="1" x14ac:dyDescent="0.3">
      <c r="J763" s="5"/>
    </row>
    <row r="764" spans="10:10" ht="18" customHeight="1" x14ac:dyDescent="0.3">
      <c r="J764" s="5"/>
    </row>
    <row r="765" spans="10:10" ht="18" customHeight="1" x14ac:dyDescent="0.3">
      <c r="J765" s="5"/>
    </row>
    <row r="766" spans="10:10" ht="18" customHeight="1" x14ac:dyDescent="0.3">
      <c r="J766" s="5"/>
    </row>
    <row r="767" spans="10:10" ht="18" customHeight="1" x14ac:dyDescent="0.3">
      <c r="J767" s="5"/>
    </row>
    <row r="768" spans="10:10" ht="18" customHeight="1" x14ac:dyDescent="0.3">
      <c r="J768" s="5"/>
    </row>
    <row r="769" spans="10:10" ht="18" customHeight="1" x14ac:dyDescent="0.3">
      <c r="J769" s="5"/>
    </row>
    <row r="770" spans="10:10" ht="18" customHeight="1" x14ac:dyDescent="0.3">
      <c r="J770" s="5"/>
    </row>
    <row r="771" spans="10:10" ht="18" customHeight="1" x14ac:dyDescent="0.3">
      <c r="J771" s="5"/>
    </row>
    <row r="772" spans="10:10" ht="18" customHeight="1" x14ac:dyDescent="0.3">
      <c r="J772" s="5"/>
    </row>
    <row r="773" spans="10:10" ht="18" customHeight="1" x14ac:dyDescent="0.3">
      <c r="J773" s="5"/>
    </row>
    <row r="774" spans="10:10" ht="18" customHeight="1" x14ac:dyDescent="0.3">
      <c r="J774" s="5"/>
    </row>
    <row r="775" spans="10:10" ht="18" customHeight="1" x14ac:dyDescent="0.3">
      <c r="J775" s="5"/>
    </row>
    <row r="776" spans="10:10" ht="18" customHeight="1" x14ac:dyDescent="0.3">
      <c r="J776" s="5"/>
    </row>
    <row r="777" spans="10:10" ht="18" customHeight="1" x14ac:dyDescent="0.3">
      <c r="J777" s="5"/>
    </row>
    <row r="778" spans="10:10" ht="18" customHeight="1" x14ac:dyDescent="0.3">
      <c r="J778" s="5"/>
    </row>
    <row r="779" spans="10:10" ht="18" customHeight="1" x14ac:dyDescent="0.3">
      <c r="J779" s="5"/>
    </row>
    <row r="780" spans="10:10" ht="18" customHeight="1" x14ac:dyDescent="0.3">
      <c r="J780" s="5"/>
    </row>
    <row r="781" spans="10:10" ht="18" customHeight="1" x14ac:dyDescent="0.3">
      <c r="J781" s="5"/>
    </row>
    <row r="782" spans="10:10" ht="18" customHeight="1" x14ac:dyDescent="0.3">
      <c r="J782" s="5"/>
    </row>
    <row r="783" spans="10:10" ht="18" customHeight="1" x14ac:dyDescent="0.3">
      <c r="J783" s="5"/>
    </row>
    <row r="784" spans="10:10" ht="18" customHeight="1" x14ac:dyDescent="0.3">
      <c r="J784" s="5"/>
    </row>
    <row r="785" spans="10:10" ht="18" customHeight="1" x14ac:dyDescent="0.3">
      <c r="J785" s="5"/>
    </row>
    <row r="786" spans="10:10" ht="18" customHeight="1" x14ac:dyDescent="0.3">
      <c r="J786" s="5"/>
    </row>
    <row r="787" spans="10:10" ht="18" customHeight="1" x14ac:dyDescent="0.3">
      <c r="J787" s="5"/>
    </row>
    <row r="788" spans="10:10" ht="18" customHeight="1" x14ac:dyDescent="0.3">
      <c r="J788" s="5"/>
    </row>
    <row r="789" spans="10:10" ht="18" customHeight="1" x14ac:dyDescent="0.3">
      <c r="J789" s="5"/>
    </row>
    <row r="790" spans="10:10" ht="18" customHeight="1" x14ac:dyDescent="0.3">
      <c r="J790" s="5"/>
    </row>
    <row r="791" spans="10:10" ht="18" customHeight="1" x14ac:dyDescent="0.3">
      <c r="J791" s="5"/>
    </row>
    <row r="792" spans="10:10" ht="18" customHeight="1" x14ac:dyDescent="0.3">
      <c r="J792" s="5"/>
    </row>
    <row r="793" spans="10:10" ht="18" customHeight="1" x14ac:dyDescent="0.3">
      <c r="J793" s="5"/>
    </row>
    <row r="794" spans="10:10" ht="18" customHeight="1" x14ac:dyDescent="0.3">
      <c r="J794" s="5"/>
    </row>
    <row r="795" spans="10:10" ht="18" customHeight="1" x14ac:dyDescent="0.3">
      <c r="J795" s="5"/>
    </row>
    <row r="796" spans="10:10" ht="18" customHeight="1" x14ac:dyDescent="0.3">
      <c r="J796" s="5"/>
    </row>
    <row r="797" spans="10:10" ht="18" customHeight="1" x14ac:dyDescent="0.3">
      <c r="J797" s="5"/>
    </row>
    <row r="798" spans="10:10" ht="18" customHeight="1" x14ac:dyDescent="0.3">
      <c r="J798" s="5"/>
    </row>
    <row r="799" spans="10:10" ht="18" customHeight="1" x14ac:dyDescent="0.3">
      <c r="J799" s="5"/>
    </row>
    <row r="800" spans="10:10" ht="18" customHeight="1" x14ac:dyDescent="0.3">
      <c r="J800" s="5"/>
    </row>
    <row r="801" spans="10:10" ht="18" customHeight="1" x14ac:dyDescent="0.3">
      <c r="J801" s="5"/>
    </row>
    <row r="802" spans="10:10" ht="18" customHeight="1" x14ac:dyDescent="0.3">
      <c r="J802" s="5"/>
    </row>
    <row r="803" spans="10:10" ht="18" customHeight="1" x14ac:dyDescent="0.3">
      <c r="J803" s="5"/>
    </row>
    <row r="804" spans="10:10" ht="18" customHeight="1" x14ac:dyDescent="0.3">
      <c r="J804" s="5"/>
    </row>
    <row r="805" spans="10:10" ht="18" customHeight="1" x14ac:dyDescent="0.3">
      <c r="J805" s="5"/>
    </row>
    <row r="806" spans="10:10" ht="18" customHeight="1" x14ac:dyDescent="0.3">
      <c r="J806" s="5"/>
    </row>
    <row r="807" spans="10:10" ht="18" customHeight="1" x14ac:dyDescent="0.3">
      <c r="J807" s="5"/>
    </row>
    <row r="808" spans="10:10" ht="18" customHeight="1" x14ac:dyDescent="0.3">
      <c r="J808" s="5"/>
    </row>
    <row r="809" spans="10:10" ht="18" customHeight="1" x14ac:dyDescent="0.3">
      <c r="J809" s="5"/>
    </row>
    <row r="810" spans="10:10" ht="18" customHeight="1" x14ac:dyDescent="0.3">
      <c r="J810" s="5"/>
    </row>
    <row r="811" spans="10:10" ht="18" customHeight="1" x14ac:dyDescent="0.3">
      <c r="J811" s="5"/>
    </row>
    <row r="812" spans="10:10" ht="18" customHeight="1" x14ac:dyDescent="0.3">
      <c r="J812" s="5"/>
    </row>
    <row r="813" spans="10:10" ht="18" customHeight="1" x14ac:dyDescent="0.3">
      <c r="J813" s="5"/>
    </row>
    <row r="814" spans="10:10" ht="18" customHeight="1" x14ac:dyDescent="0.3">
      <c r="J814" s="5"/>
    </row>
    <row r="815" spans="10:10" ht="18" customHeight="1" x14ac:dyDescent="0.3">
      <c r="J815" s="5"/>
    </row>
    <row r="816" spans="10:10" ht="18" customHeight="1" x14ac:dyDescent="0.3">
      <c r="J816" s="5"/>
    </row>
    <row r="817" spans="10:10" ht="18" customHeight="1" x14ac:dyDescent="0.3">
      <c r="J817" s="5"/>
    </row>
    <row r="818" spans="10:10" ht="18" customHeight="1" x14ac:dyDescent="0.3">
      <c r="J818" s="5"/>
    </row>
    <row r="819" spans="10:10" ht="18" customHeight="1" x14ac:dyDescent="0.3">
      <c r="J819" s="5"/>
    </row>
    <row r="820" spans="10:10" ht="18" customHeight="1" x14ac:dyDescent="0.3">
      <c r="J820" s="5"/>
    </row>
    <row r="821" spans="10:10" ht="18" customHeight="1" x14ac:dyDescent="0.3">
      <c r="J821" s="5"/>
    </row>
    <row r="822" spans="10:10" ht="18" customHeight="1" x14ac:dyDescent="0.3">
      <c r="J822" s="5"/>
    </row>
    <row r="823" spans="10:10" ht="18" customHeight="1" x14ac:dyDescent="0.3">
      <c r="J823" s="5"/>
    </row>
    <row r="824" spans="10:10" ht="18" customHeight="1" x14ac:dyDescent="0.3">
      <c r="J824" s="5"/>
    </row>
    <row r="825" spans="10:10" ht="18" customHeight="1" x14ac:dyDescent="0.3">
      <c r="J825" s="5"/>
    </row>
    <row r="826" spans="10:10" ht="18" customHeight="1" x14ac:dyDescent="0.3">
      <c r="J826" s="5"/>
    </row>
    <row r="827" spans="10:10" ht="18" customHeight="1" x14ac:dyDescent="0.3">
      <c r="J827" s="5"/>
    </row>
    <row r="828" spans="10:10" ht="18" customHeight="1" x14ac:dyDescent="0.3">
      <c r="J828" s="5"/>
    </row>
    <row r="829" spans="10:10" ht="18" customHeight="1" x14ac:dyDescent="0.3">
      <c r="J829" s="5"/>
    </row>
    <row r="830" spans="10:10" ht="18" customHeight="1" x14ac:dyDescent="0.3">
      <c r="J830" s="5"/>
    </row>
    <row r="831" spans="10:10" ht="18" customHeight="1" x14ac:dyDescent="0.3">
      <c r="J831" s="5"/>
    </row>
    <row r="832" spans="10:10" ht="18" customHeight="1" x14ac:dyDescent="0.3">
      <c r="J832" s="5"/>
    </row>
    <row r="833" spans="10:10" ht="18" customHeight="1" x14ac:dyDescent="0.3">
      <c r="J833" s="5"/>
    </row>
    <row r="834" spans="10:10" ht="18" customHeight="1" x14ac:dyDescent="0.3">
      <c r="J834" s="5"/>
    </row>
    <row r="835" spans="10:10" ht="18" customHeight="1" x14ac:dyDescent="0.3">
      <c r="J835" s="5"/>
    </row>
    <row r="836" spans="10:10" ht="18" customHeight="1" x14ac:dyDescent="0.3">
      <c r="J836" s="5"/>
    </row>
    <row r="837" spans="10:10" ht="18" customHeight="1" x14ac:dyDescent="0.3">
      <c r="J837" s="5"/>
    </row>
    <row r="838" spans="10:10" ht="18" customHeight="1" x14ac:dyDescent="0.3">
      <c r="J838" s="5"/>
    </row>
    <row r="839" spans="10:10" ht="18" customHeight="1" x14ac:dyDescent="0.3">
      <c r="J839" s="5"/>
    </row>
    <row r="840" spans="10:10" ht="18" customHeight="1" x14ac:dyDescent="0.3">
      <c r="J840" s="5"/>
    </row>
    <row r="841" spans="10:10" ht="18" customHeight="1" x14ac:dyDescent="0.3">
      <c r="J841" s="5"/>
    </row>
    <row r="842" spans="10:10" ht="18" customHeight="1" x14ac:dyDescent="0.3">
      <c r="J842" s="5"/>
    </row>
    <row r="843" spans="10:10" ht="18" customHeight="1" x14ac:dyDescent="0.3">
      <c r="J843" s="5"/>
    </row>
    <row r="844" spans="10:10" ht="18" customHeight="1" x14ac:dyDescent="0.3">
      <c r="J844" s="5"/>
    </row>
    <row r="845" spans="10:10" ht="18" customHeight="1" x14ac:dyDescent="0.3">
      <c r="J845" s="5"/>
    </row>
    <row r="846" spans="10:10" ht="18" customHeight="1" x14ac:dyDescent="0.3">
      <c r="J846" s="5"/>
    </row>
    <row r="847" spans="10:10" ht="18" customHeight="1" x14ac:dyDescent="0.3">
      <c r="J847" s="5"/>
    </row>
    <row r="848" spans="10:10" ht="18" customHeight="1" x14ac:dyDescent="0.3">
      <c r="J848" s="5"/>
    </row>
    <row r="849" spans="10:10" ht="18" customHeight="1" x14ac:dyDescent="0.3">
      <c r="J849" s="5"/>
    </row>
    <row r="850" spans="10:10" ht="18" customHeight="1" x14ac:dyDescent="0.3">
      <c r="J850" s="5"/>
    </row>
    <row r="851" spans="10:10" ht="18" customHeight="1" x14ac:dyDescent="0.3">
      <c r="J851" s="5"/>
    </row>
    <row r="852" spans="10:10" ht="18" customHeight="1" x14ac:dyDescent="0.3">
      <c r="J852" s="5"/>
    </row>
    <row r="853" spans="10:10" ht="18" customHeight="1" x14ac:dyDescent="0.3">
      <c r="J853" s="5"/>
    </row>
    <row r="854" spans="10:10" ht="18" customHeight="1" x14ac:dyDescent="0.3">
      <c r="J854" s="5"/>
    </row>
    <row r="855" spans="10:10" ht="18" customHeight="1" x14ac:dyDescent="0.3">
      <c r="J855" s="5"/>
    </row>
    <row r="856" spans="10:10" ht="18" customHeight="1" x14ac:dyDescent="0.3">
      <c r="J856" s="5"/>
    </row>
    <row r="857" spans="10:10" ht="18" customHeight="1" x14ac:dyDescent="0.3">
      <c r="J857" s="5"/>
    </row>
    <row r="858" spans="10:10" ht="18" customHeight="1" x14ac:dyDescent="0.3">
      <c r="J858" s="5"/>
    </row>
    <row r="859" spans="10:10" ht="18" customHeight="1" x14ac:dyDescent="0.3">
      <c r="J859" s="5"/>
    </row>
    <row r="860" spans="10:10" ht="18" customHeight="1" x14ac:dyDescent="0.3">
      <c r="J860" s="5"/>
    </row>
    <row r="861" spans="10:10" ht="18" customHeight="1" x14ac:dyDescent="0.3">
      <c r="J861" s="5"/>
    </row>
    <row r="862" spans="10:10" ht="18" customHeight="1" x14ac:dyDescent="0.3">
      <c r="J862" s="5"/>
    </row>
    <row r="863" spans="10:10" ht="18" customHeight="1" x14ac:dyDescent="0.3">
      <c r="J863" s="5"/>
    </row>
    <row r="864" spans="10:10" ht="18" customHeight="1" x14ac:dyDescent="0.3">
      <c r="J864" s="5"/>
    </row>
    <row r="865" spans="10:10" ht="18" customHeight="1" x14ac:dyDescent="0.3">
      <c r="J865" s="5"/>
    </row>
    <row r="866" spans="10:10" ht="18" customHeight="1" x14ac:dyDescent="0.3">
      <c r="J866" s="5"/>
    </row>
    <row r="867" spans="10:10" ht="18" customHeight="1" x14ac:dyDescent="0.3">
      <c r="J867" s="5"/>
    </row>
    <row r="868" spans="10:10" ht="18" customHeight="1" x14ac:dyDescent="0.3">
      <c r="J868" s="5"/>
    </row>
    <row r="869" spans="10:10" ht="18" customHeight="1" x14ac:dyDescent="0.3">
      <c r="J869" s="5"/>
    </row>
    <row r="870" spans="10:10" ht="18" customHeight="1" x14ac:dyDescent="0.3">
      <c r="J870" s="5"/>
    </row>
    <row r="871" spans="10:10" ht="18" customHeight="1" x14ac:dyDescent="0.3">
      <c r="J871" s="5"/>
    </row>
    <row r="872" spans="10:10" ht="18" customHeight="1" x14ac:dyDescent="0.3">
      <c r="J872" s="5"/>
    </row>
    <row r="873" spans="10:10" ht="18" customHeight="1" x14ac:dyDescent="0.3">
      <c r="J873" s="5"/>
    </row>
    <row r="874" spans="10:10" ht="18" customHeight="1" x14ac:dyDescent="0.3">
      <c r="J874" s="5"/>
    </row>
    <row r="875" spans="10:10" ht="18" customHeight="1" x14ac:dyDescent="0.3">
      <c r="J875" s="5"/>
    </row>
    <row r="876" spans="10:10" ht="18" customHeight="1" x14ac:dyDescent="0.3">
      <c r="J876" s="5"/>
    </row>
    <row r="877" spans="10:10" ht="18" customHeight="1" x14ac:dyDescent="0.3">
      <c r="J877" s="5"/>
    </row>
    <row r="878" spans="10:10" ht="18" customHeight="1" x14ac:dyDescent="0.3">
      <c r="J878" s="5"/>
    </row>
    <row r="879" spans="10:10" ht="18" customHeight="1" x14ac:dyDescent="0.3">
      <c r="J879" s="5"/>
    </row>
    <row r="880" spans="10:10" ht="18" customHeight="1" x14ac:dyDescent="0.3">
      <c r="J880" s="5"/>
    </row>
    <row r="881" spans="10:10" ht="18" customHeight="1" x14ac:dyDescent="0.3">
      <c r="J881" s="5"/>
    </row>
    <row r="882" spans="10:10" ht="18" customHeight="1" x14ac:dyDescent="0.3">
      <c r="J882" s="5"/>
    </row>
    <row r="883" spans="10:10" ht="18" customHeight="1" x14ac:dyDescent="0.3">
      <c r="J883" s="5"/>
    </row>
    <row r="884" spans="10:10" ht="18" customHeight="1" x14ac:dyDescent="0.3">
      <c r="J884" s="5"/>
    </row>
    <row r="885" spans="10:10" ht="18" customHeight="1" x14ac:dyDescent="0.3">
      <c r="J885" s="5"/>
    </row>
    <row r="886" spans="10:10" ht="18" customHeight="1" x14ac:dyDescent="0.3">
      <c r="J886" s="5"/>
    </row>
    <row r="887" spans="10:10" ht="18" customHeight="1" x14ac:dyDescent="0.3">
      <c r="J887" s="5"/>
    </row>
    <row r="888" spans="10:10" ht="18" customHeight="1" x14ac:dyDescent="0.3">
      <c r="J888" s="5"/>
    </row>
    <row r="889" spans="10:10" ht="18" customHeight="1" x14ac:dyDescent="0.3">
      <c r="J889" s="5"/>
    </row>
    <row r="890" spans="10:10" ht="18" customHeight="1" x14ac:dyDescent="0.3">
      <c r="J890" s="5"/>
    </row>
    <row r="891" spans="10:10" ht="18" customHeight="1" x14ac:dyDescent="0.3">
      <c r="J891" s="5"/>
    </row>
    <row r="892" spans="10:10" ht="18" customHeight="1" x14ac:dyDescent="0.3">
      <c r="J892" s="5"/>
    </row>
    <row r="893" spans="10:10" ht="18" customHeight="1" x14ac:dyDescent="0.3">
      <c r="J893" s="5"/>
    </row>
    <row r="894" spans="10:10" ht="18" customHeight="1" x14ac:dyDescent="0.3">
      <c r="J894" s="5"/>
    </row>
    <row r="895" spans="10:10" ht="18" customHeight="1" x14ac:dyDescent="0.3">
      <c r="J895" s="5"/>
    </row>
    <row r="896" spans="10:10" ht="18" customHeight="1" x14ac:dyDescent="0.3">
      <c r="J896" s="5"/>
    </row>
    <row r="897" spans="10:10" ht="18" customHeight="1" x14ac:dyDescent="0.3">
      <c r="J897" s="5"/>
    </row>
    <row r="898" spans="10:10" ht="18" customHeight="1" x14ac:dyDescent="0.3">
      <c r="J898" s="5"/>
    </row>
    <row r="899" spans="10:10" ht="18" customHeight="1" x14ac:dyDescent="0.3">
      <c r="J899" s="5"/>
    </row>
    <row r="900" spans="10:10" ht="18" customHeight="1" x14ac:dyDescent="0.3">
      <c r="J900" s="5"/>
    </row>
    <row r="901" spans="10:10" ht="18" customHeight="1" x14ac:dyDescent="0.3">
      <c r="J901" s="5"/>
    </row>
    <row r="902" spans="10:10" ht="18" customHeight="1" x14ac:dyDescent="0.3">
      <c r="J902" s="5"/>
    </row>
    <row r="903" spans="10:10" ht="18" customHeight="1" x14ac:dyDescent="0.3">
      <c r="J903" s="5"/>
    </row>
    <row r="904" spans="10:10" ht="18" customHeight="1" x14ac:dyDescent="0.3">
      <c r="J904" s="5"/>
    </row>
    <row r="905" spans="10:10" ht="18" customHeight="1" x14ac:dyDescent="0.3">
      <c r="J905" s="5"/>
    </row>
    <row r="906" spans="10:10" ht="18" customHeight="1" x14ac:dyDescent="0.3">
      <c r="J906" s="5"/>
    </row>
    <row r="907" spans="10:10" ht="18" customHeight="1" x14ac:dyDescent="0.3">
      <c r="J907" s="5"/>
    </row>
    <row r="908" spans="10:10" ht="18" customHeight="1" x14ac:dyDescent="0.3">
      <c r="J908" s="5"/>
    </row>
    <row r="909" spans="10:10" ht="18" customHeight="1" x14ac:dyDescent="0.3">
      <c r="J909" s="5"/>
    </row>
    <row r="910" spans="10:10" ht="18" customHeight="1" x14ac:dyDescent="0.3">
      <c r="J910" s="5"/>
    </row>
    <row r="911" spans="10:10" ht="18" customHeight="1" x14ac:dyDescent="0.3">
      <c r="J911" s="5"/>
    </row>
    <row r="912" spans="10:10" ht="18" customHeight="1" x14ac:dyDescent="0.3">
      <c r="J912" s="5"/>
    </row>
    <row r="913" spans="10:10" ht="18" customHeight="1" x14ac:dyDescent="0.3">
      <c r="J913" s="5"/>
    </row>
    <row r="914" spans="10:10" ht="18" customHeight="1" x14ac:dyDescent="0.3">
      <c r="J914" s="5"/>
    </row>
    <row r="915" spans="10:10" ht="18" customHeight="1" x14ac:dyDescent="0.3">
      <c r="J915" s="5"/>
    </row>
    <row r="916" spans="10:10" ht="18" customHeight="1" x14ac:dyDescent="0.3">
      <c r="J916" s="5"/>
    </row>
    <row r="917" spans="10:10" ht="18" customHeight="1" x14ac:dyDescent="0.3">
      <c r="J917" s="5"/>
    </row>
  </sheetData>
  <mergeCells count="15">
    <mergeCell ref="B17:C17"/>
    <mergeCell ref="B18:C18"/>
    <mergeCell ref="B19:C19"/>
    <mergeCell ref="B11:C11"/>
    <mergeCell ref="B12:C12"/>
    <mergeCell ref="B13:C13"/>
    <mergeCell ref="B14:C14"/>
    <mergeCell ref="B15:C15"/>
    <mergeCell ref="B16:C16"/>
    <mergeCell ref="B10:C10"/>
    <mergeCell ref="B5:C5"/>
    <mergeCell ref="B6:C6"/>
    <mergeCell ref="B7:C7"/>
    <mergeCell ref="B8:C8"/>
    <mergeCell ref="B9:C9"/>
  </mergeCells>
  <pageMargins left="0.89" right="0.4" top="1.57" bottom="0.54" header="0" footer="0"/>
  <pageSetup paperSize="9" scale="71" orientation="portrait"/>
  <headerFooter>
    <oddHeader>&amp;L &amp;C University of Moratuwa, Sri Lanka Faculty of Engineering   Final Mark Sheet&amp;R[CONFIDENTIAL] Exam ID : 218 Common Engineering</oddHeader>
    <oddFooter>&amp;LB.Sc. Engineering Degree&amp;CSemester 2 ('18 Batch)&amp;R&amp;P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F4EA-1810-4FAF-AD31-D958A3C5AC3E}">
  <dimension ref="A1:M789"/>
  <sheetViews>
    <sheetView zoomScale="120" zoomScaleNormal="120" workbookViewId="0">
      <selection activeCell="N55" sqref="N55"/>
    </sheetView>
  </sheetViews>
  <sheetFormatPr defaultColWidth="12.6640625" defaultRowHeight="15" customHeight="1" x14ac:dyDescent="0.3"/>
  <cols>
    <col min="1" max="1" width="8.6640625" style="3" customWidth="1"/>
    <col min="2" max="2" width="28.77734375" style="3" customWidth="1"/>
    <col min="3" max="5" width="4.77734375" style="3" customWidth="1"/>
    <col min="6" max="6" width="5.21875" style="3" bestFit="1" customWidth="1"/>
    <col min="7" max="11" width="4.77734375" style="3" customWidth="1"/>
    <col min="12" max="12" width="7.6640625" style="3" bestFit="1" customWidth="1"/>
    <col min="13" max="13" width="9.77734375" style="3" customWidth="1"/>
    <col min="14" max="26" width="8.6640625" style="3" customWidth="1"/>
    <col min="27" max="16384" width="12.6640625" style="3"/>
  </cols>
  <sheetData>
    <row r="1" spans="1:13" ht="19.5" customHeight="1" x14ac:dyDescent="0.3">
      <c r="A1" s="1" t="s">
        <v>523</v>
      </c>
      <c r="B1" s="46"/>
      <c r="C1" s="1" t="s">
        <v>524</v>
      </c>
    </row>
    <row r="2" spans="1:13" ht="25.5" customHeight="1" x14ac:dyDescent="0.3">
      <c r="A2" s="54" t="s">
        <v>47</v>
      </c>
      <c r="B2" s="54" t="s">
        <v>1</v>
      </c>
      <c r="C2" s="55"/>
      <c r="D2" s="55"/>
      <c r="E2" s="56" t="s">
        <v>67</v>
      </c>
      <c r="F2" s="55"/>
      <c r="G2" s="55"/>
      <c r="H2" s="55"/>
      <c r="I2" s="55"/>
      <c r="J2" s="55"/>
      <c r="K2" s="57"/>
      <c r="L2" s="58" t="s">
        <v>68</v>
      </c>
      <c r="M2" s="58" t="s">
        <v>69</v>
      </c>
    </row>
    <row r="3" spans="1:13" ht="19.5" customHeight="1" x14ac:dyDescent="0.3">
      <c r="A3" s="65"/>
      <c r="B3" s="66"/>
      <c r="C3" s="59">
        <v>1</v>
      </c>
      <c r="D3" s="60">
        <v>2</v>
      </c>
      <c r="E3" s="60">
        <v>3</v>
      </c>
      <c r="F3" s="60">
        <v>4</v>
      </c>
      <c r="G3" s="60"/>
      <c r="H3" s="60"/>
      <c r="I3" s="60"/>
      <c r="J3" s="60"/>
      <c r="K3" s="60"/>
      <c r="L3" s="61">
        <v>1</v>
      </c>
      <c r="M3" s="61">
        <v>0.6</v>
      </c>
    </row>
    <row r="4" spans="1:13" ht="19.5" customHeight="1" x14ac:dyDescent="0.3">
      <c r="A4" s="67" t="str">
        <f>'EN4554_Intake 2021_New BSc Eng.'!A2</f>
        <v>200370K</v>
      </c>
      <c r="B4" s="67" t="str">
        <f>'EN4554_Intake 2021_New BSc Eng.'!B2</f>
        <v>MADUWANTHA L.H.H.</v>
      </c>
      <c r="C4" s="64">
        <v>19</v>
      </c>
      <c r="D4" s="62">
        <v>20</v>
      </c>
      <c r="E4" s="62">
        <v>7</v>
      </c>
      <c r="F4" s="69">
        <v>8</v>
      </c>
      <c r="G4" s="62">
        <v>12.5</v>
      </c>
      <c r="H4" s="62"/>
      <c r="I4" s="62"/>
      <c r="J4" s="62"/>
      <c r="K4" s="62"/>
      <c r="L4" s="62">
        <f t="shared" ref="L4:L13" si="0">SUM(C4:K4)</f>
        <v>66.5</v>
      </c>
      <c r="M4" s="63">
        <f>VLOOKUP($A4, Moodle!$D$2:$V$102, 19, FALSE)</f>
        <v>48.42</v>
      </c>
    </row>
    <row r="5" spans="1:13" ht="19.5" customHeight="1" x14ac:dyDescent="0.3">
      <c r="A5" s="67" t="str">
        <f>'EN4554_Intake 2021_New BSc Eng.'!A3</f>
        <v>210003B</v>
      </c>
      <c r="B5" s="67" t="str">
        <f>'EN4554_Intake 2021_New BSc Eng.'!B3</f>
        <v>ABEWICKREMA A.S.J.</v>
      </c>
      <c r="C5" s="64">
        <v>20</v>
      </c>
      <c r="D5" s="62">
        <v>13</v>
      </c>
      <c r="E5" s="62">
        <v>8</v>
      </c>
      <c r="F5" s="69">
        <v>5</v>
      </c>
      <c r="G5" s="62">
        <v>12.5</v>
      </c>
      <c r="H5" s="62"/>
      <c r="I5" s="62"/>
      <c r="J5" s="62"/>
      <c r="K5" s="62"/>
      <c r="L5" s="62">
        <f t="shared" si="0"/>
        <v>58.5</v>
      </c>
      <c r="M5" s="63">
        <f>VLOOKUP($A5, Moodle!$D$2:$V$102, 19, FALSE)</f>
        <v>51.17</v>
      </c>
    </row>
    <row r="6" spans="1:13" ht="19.5" customHeight="1" x14ac:dyDescent="0.3">
      <c r="A6" s="67" t="str">
        <f>'EN4554_Intake 2021_New BSc Eng.'!A4</f>
        <v>210005H</v>
      </c>
      <c r="B6" s="67" t="str">
        <f>'EN4554_Intake 2021_New BSc Eng.'!B4</f>
        <v>ABEYRATHNA S.M.S.M.B.</v>
      </c>
      <c r="C6" s="64">
        <v>12.5</v>
      </c>
      <c r="D6" s="62">
        <v>11</v>
      </c>
      <c r="E6" s="62">
        <v>11</v>
      </c>
      <c r="F6" s="69">
        <v>4</v>
      </c>
      <c r="G6" s="62">
        <v>12.5</v>
      </c>
      <c r="H6" s="62"/>
      <c r="I6" s="62"/>
      <c r="J6" s="62"/>
      <c r="K6" s="62"/>
      <c r="L6" s="62">
        <f t="shared" si="0"/>
        <v>51</v>
      </c>
      <c r="M6" s="63">
        <f>VLOOKUP($A6, Moodle!$D$2:$V$102, 19, FALSE)</f>
        <v>51.25</v>
      </c>
    </row>
    <row r="7" spans="1:13" ht="19.5" customHeight="1" x14ac:dyDescent="0.3">
      <c r="A7" s="67" t="str">
        <f>'EN4554_Intake 2021_New BSc Eng.'!A5</f>
        <v>210014J</v>
      </c>
      <c r="B7" s="67" t="str">
        <f>'EN4554_Intake 2021_New BSc Eng.'!B5</f>
        <v>ABEYWARDANA K.D.W.</v>
      </c>
      <c r="C7" s="64">
        <v>14</v>
      </c>
      <c r="D7" s="62">
        <v>10</v>
      </c>
      <c r="E7" s="62">
        <v>6</v>
      </c>
      <c r="F7" s="69">
        <v>14</v>
      </c>
      <c r="G7" s="62">
        <v>12.5</v>
      </c>
      <c r="H7" s="62"/>
      <c r="I7" s="62"/>
      <c r="J7" s="62"/>
      <c r="K7" s="62"/>
      <c r="L7" s="62">
        <f t="shared" si="0"/>
        <v>56.5</v>
      </c>
      <c r="M7" s="63">
        <f>VLOOKUP($A7, Moodle!$D$2:$V$102, 19, FALSE)</f>
        <v>52.08</v>
      </c>
    </row>
    <row r="8" spans="1:13" ht="19.5" customHeight="1" x14ac:dyDescent="0.3">
      <c r="A8" s="67" t="str">
        <f>'EN4554_Intake 2021_New BSc Eng.'!A6</f>
        <v>210019E</v>
      </c>
      <c r="B8" s="67" t="str">
        <f>'EN4554_Intake 2021_New BSc Eng.'!B6</f>
        <v>ABITHAN A.</v>
      </c>
      <c r="C8" s="64">
        <v>8.5</v>
      </c>
      <c r="D8" s="62">
        <v>11</v>
      </c>
      <c r="E8" s="62">
        <v>4</v>
      </c>
      <c r="F8" s="69">
        <v>6</v>
      </c>
      <c r="G8" s="62">
        <v>12.5</v>
      </c>
      <c r="H8" s="62"/>
      <c r="I8" s="62"/>
      <c r="J8" s="62"/>
      <c r="K8" s="62"/>
      <c r="L8" s="62">
        <f t="shared" si="0"/>
        <v>42</v>
      </c>
      <c r="M8" s="63">
        <f>VLOOKUP($A8, Moodle!$D$2:$V$102, 19, FALSE)</f>
        <v>49.33</v>
      </c>
    </row>
    <row r="9" spans="1:13" ht="19.5" customHeight="1" x14ac:dyDescent="0.3">
      <c r="A9" s="67" t="str">
        <f>'EN4554_Intake 2021_New BSc Eng.'!A7</f>
        <v>210021D</v>
      </c>
      <c r="B9" s="67" t="str">
        <f>'EN4554_Intake 2021_New BSc Eng.'!B7</f>
        <v>ADIKARAM W.K.D.N.E.</v>
      </c>
      <c r="C9" s="64">
        <v>12</v>
      </c>
      <c r="D9" s="62">
        <v>5</v>
      </c>
      <c r="E9" s="62">
        <v>8</v>
      </c>
      <c r="F9" s="69">
        <v>6</v>
      </c>
      <c r="G9" s="62">
        <v>12.5</v>
      </c>
      <c r="H9" s="62"/>
      <c r="I9" s="62"/>
      <c r="J9" s="62"/>
      <c r="K9" s="62"/>
      <c r="L9" s="62">
        <f t="shared" si="0"/>
        <v>43.5</v>
      </c>
      <c r="M9" s="63">
        <f>VLOOKUP($A9, Moodle!$D$2:$V$102, 19, FALSE)</f>
        <v>48.88</v>
      </c>
    </row>
    <row r="10" spans="1:13" ht="19.5" customHeight="1" x14ac:dyDescent="0.3">
      <c r="A10" s="67" t="str">
        <f>'EN4554_Intake 2021_New BSc Eng.'!A8</f>
        <v>210022G</v>
      </c>
      <c r="B10" s="67" t="str">
        <f>'EN4554_Intake 2021_New BSc Eng.'!B8</f>
        <v>ADIKARI A.A.S.D.</v>
      </c>
      <c r="C10" s="64">
        <v>17.5</v>
      </c>
      <c r="D10" s="62">
        <v>21</v>
      </c>
      <c r="E10" s="62">
        <v>14</v>
      </c>
      <c r="F10" s="69">
        <v>8</v>
      </c>
      <c r="G10" s="62">
        <v>12.5</v>
      </c>
      <c r="H10" s="62"/>
      <c r="I10" s="62"/>
      <c r="J10" s="62"/>
      <c r="K10" s="62"/>
      <c r="L10" s="62">
        <f t="shared" si="0"/>
        <v>73</v>
      </c>
      <c r="M10" s="63">
        <f>VLOOKUP($A10, Moodle!$D$2:$V$102, 19, FALSE)</f>
        <v>53.17</v>
      </c>
    </row>
    <row r="11" spans="1:13" ht="19.5" customHeight="1" x14ac:dyDescent="0.3">
      <c r="A11" s="67" t="str">
        <f>'EN4554_Intake 2021_New BSc Eng.'!A9</f>
        <v>210027C</v>
      </c>
      <c r="B11" s="67" t="str">
        <f>'EN4554_Intake 2021_New BSc Eng.'!B9</f>
        <v>ALAHAKOON U.M.Y.B.</v>
      </c>
      <c r="C11" s="64">
        <v>14.5</v>
      </c>
      <c r="D11" s="62">
        <v>18</v>
      </c>
      <c r="E11" s="62">
        <v>8</v>
      </c>
      <c r="F11" s="69">
        <v>13</v>
      </c>
      <c r="G11" s="62">
        <v>12.5</v>
      </c>
      <c r="H11" s="62"/>
      <c r="I11" s="62"/>
      <c r="J11" s="62"/>
      <c r="K11" s="62"/>
      <c r="L11" s="62">
        <f t="shared" si="0"/>
        <v>66</v>
      </c>
      <c r="M11" s="63">
        <f>VLOOKUP($A11, Moodle!$D$2:$V$102, 19, FALSE)</f>
        <v>48.77</v>
      </c>
    </row>
    <row r="12" spans="1:13" ht="19.5" customHeight="1" x14ac:dyDescent="0.3">
      <c r="A12" s="67" t="str">
        <f>'EN4554_Intake 2021_New BSc Eng.'!A10</f>
        <v>210031H</v>
      </c>
      <c r="B12" s="67" t="str">
        <f>'EN4554_Intake 2021_New BSc Eng.'!B10</f>
        <v>AMARASINGHE A.A.W.L.R.</v>
      </c>
      <c r="C12" s="64">
        <v>11</v>
      </c>
      <c r="D12" s="62">
        <v>17</v>
      </c>
      <c r="E12" s="62">
        <v>15</v>
      </c>
      <c r="F12" s="69">
        <v>7</v>
      </c>
      <c r="G12" s="62">
        <v>12.5</v>
      </c>
      <c r="H12" s="62"/>
      <c r="I12" s="62"/>
      <c r="J12" s="62"/>
      <c r="K12" s="62"/>
      <c r="L12" s="62">
        <f t="shared" si="0"/>
        <v>62.5</v>
      </c>
      <c r="M12" s="63">
        <f>VLOOKUP($A12, Moodle!$D$2:$V$102, 19, FALSE)</f>
        <v>55.25</v>
      </c>
    </row>
    <row r="13" spans="1:13" ht="19.5" customHeight="1" x14ac:dyDescent="0.3">
      <c r="A13" s="67" t="str">
        <f>'EN4554_Intake 2021_New BSc Eng.'!A11</f>
        <v>210035A</v>
      </c>
      <c r="B13" s="67" t="str">
        <f>'EN4554_Intake 2021_New BSc Eng.'!B11</f>
        <v>AMARASINGHE Y.W.S.P.</v>
      </c>
      <c r="C13" s="64">
        <v>15</v>
      </c>
      <c r="D13" s="62">
        <v>13</v>
      </c>
      <c r="E13" s="62">
        <v>16</v>
      </c>
      <c r="F13" s="69">
        <v>8</v>
      </c>
      <c r="G13" s="62">
        <v>12.5</v>
      </c>
      <c r="H13" s="62"/>
      <c r="I13" s="62"/>
      <c r="J13" s="62"/>
      <c r="K13" s="62"/>
      <c r="L13" s="62">
        <f t="shared" si="0"/>
        <v>64.5</v>
      </c>
      <c r="M13" s="63">
        <f>VLOOKUP($A13, Moodle!$D$2:$V$102, 19, FALSE)</f>
        <v>55.17</v>
      </c>
    </row>
    <row r="14" spans="1:13" ht="19.5" customHeight="1" x14ac:dyDescent="0.3">
      <c r="A14" s="67" t="str">
        <f>'EN4554_Intake 2021_New BSc Eng.'!A12</f>
        <v>210036D</v>
      </c>
      <c r="B14" s="67" t="str">
        <f>'EN4554_Intake 2021_New BSc Eng.'!B12</f>
        <v>AMARASURIYA G.N.</v>
      </c>
      <c r="C14" s="64">
        <v>11.5</v>
      </c>
      <c r="D14" s="62">
        <v>6</v>
      </c>
      <c r="E14" s="62">
        <v>8</v>
      </c>
      <c r="F14" s="69">
        <v>11</v>
      </c>
      <c r="G14" s="62">
        <v>12.5</v>
      </c>
      <c r="H14" s="62"/>
      <c r="I14" s="62"/>
      <c r="J14" s="62"/>
      <c r="K14" s="62"/>
      <c r="L14" s="62">
        <f t="shared" ref="L14:L15" si="1">SUM(C14:K14)</f>
        <v>49</v>
      </c>
      <c r="M14" s="63">
        <f>VLOOKUP($A14, Moodle!$D$2:$V$102, 19, FALSE)</f>
        <v>53.29</v>
      </c>
    </row>
    <row r="15" spans="1:13" ht="19.5" customHeight="1" x14ac:dyDescent="0.3">
      <c r="A15" s="67" t="str">
        <f>'EN4554_Intake 2021_New BSc Eng.'!A13</f>
        <v>210037G</v>
      </c>
      <c r="B15" s="67" t="str">
        <f>'EN4554_Intake 2021_New BSc Eng.'!B13</f>
        <v>AMARATHUNGA D.N.</v>
      </c>
      <c r="C15" s="64">
        <v>11</v>
      </c>
      <c r="D15" s="62">
        <v>8</v>
      </c>
      <c r="E15" s="62">
        <v>10</v>
      </c>
      <c r="F15" s="69">
        <v>6</v>
      </c>
      <c r="G15" s="62">
        <v>12.5</v>
      </c>
      <c r="H15" s="62"/>
      <c r="I15" s="62"/>
      <c r="J15" s="62"/>
      <c r="K15" s="62"/>
      <c r="L15" s="62">
        <f t="shared" si="1"/>
        <v>47.5</v>
      </c>
      <c r="M15" s="63">
        <f>VLOOKUP($A15, Moodle!$D$2:$V$102, 19, FALSE)</f>
        <v>53.17</v>
      </c>
    </row>
    <row r="16" spans="1:13" ht="19.5" customHeight="1" x14ac:dyDescent="0.3">
      <c r="A16" s="67" t="str">
        <f>'EN4554_Intake 2021_New BSc Eng.'!A14</f>
        <v>210041M</v>
      </c>
      <c r="B16" s="67" t="str">
        <f>'EN4554_Intake 2021_New BSc Eng.'!B14</f>
        <v>AMUGODA A.S.S.</v>
      </c>
      <c r="C16" s="64">
        <v>22</v>
      </c>
      <c r="D16" s="62">
        <v>15</v>
      </c>
      <c r="E16" s="62">
        <v>14</v>
      </c>
      <c r="F16" s="69">
        <v>9</v>
      </c>
      <c r="G16" s="62">
        <v>12.5</v>
      </c>
      <c r="H16" s="62"/>
      <c r="I16" s="62"/>
      <c r="J16" s="62"/>
      <c r="K16" s="62"/>
      <c r="L16" s="62">
        <f t="shared" ref="L16:L79" si="2">SUM(C16:K16)</f>
        <v>72.5</v>
      </c>
      <c r="M16" s="63">
        <f>VLOOKUP($A16, Moodle!$D$2:$V$102, 19, FALSE)</f>
        <v>51.31</v>
      </c>
    </row>
    <row r="17" spans="1:13" ht="19.5" customHeight="1" x14ac:dyDescent="0.3">
      <c r="A17" s="67" t="str">
        <f>'EN4554_Intake 2021_New BSc Eng.'!A15</f>
        <v>210069F</v>
      </c>
      <c r="B17" s="67" t="str">
        <f>'EN4554_Intake 2021_New BSc Eng.'!B15</f>
        <v>BASNAYAKE B.Y.N.</v>
      </c>
      <c r="C17" s="64">
        <v>10</v>
      </c>
      <c r="D17" s="62">
        <v>10</v>
      </c>
      <c r="E17" s="62">
        <v>4</v>
      </c>
      <c r="F17" s="69">
        <v>8</v>
      </c>
      <c r="G17" s="62">
        <v>12.5</v>
      </c>
      <c r="H17" s="62"/>
      <c r="I17" s="62"/>
      <c r="J17" s="62"/>
      <c r="K17" s="62"/>
      <c r="L17" s="62">
        <f t="shared" si="2"/>
        <v>44.5</v>
      </c>
      <c r="M17" s="63">
        <f>VLOOKUP($A17, Moodle!$D$2:$V$102, 19, FALSE)</f>
        <v>57.21</v>
      </c>
    </row>
    <row r="18" spans="1:13" ht="19.5" customHeight="1" x14ac:dyDescent="0.3">
      <c r="A18" s="67" t="str">
        <f>'EN4554_Intake 2021_New BSc Eng.'!A16</f>
        <v>210071E</v>
      </c>
      <c r="B18" s="67" t="str">
        <f>'EN4554_Intake 2021_New BSc Eng.'!B16</f>
        <v>BOTHEJU W.G.W.</v>
      </c>
      <c r="C18" s="64">
        <v>12.5</v>
      </c>
      <c r="D18" s="62">
        <v>15</v>
      </c>
      <c r="E18" s="62">
        <v>14</v>
      </c>
      <c r="F18" s="69">
        <v>14</v>
      </c>
      <c r="G18" s="62">
        <v>12.5</v>
      </c>
      <c r="H18" s="62"/>
      <c r="I18" s="62"/>
      <c r="J18" s="62"/>
      <c r="K18" s="62"/>
      <c r="L18" s="62">
        <f t="shared" si="2"/>
        <v>68</v>
      </c>
      <c r="M18" s="63">
        <f>VLOOKUP($A18, Moodle!$D$2:$V$102, 19, FALSE)</f>
        <v>49.9</v>
      </c>
    </row>
    <row r="19" spans="1:13" ht="19.5" customHeight="1" x14ac:dyDescent="0.3">
      <c r="A19" s="67" t="str">
        <f>'EN4554_Intake 2021_New BSc Eng.'!A17</f>
        <v>210075U</v>
      </c>
      <c r="B19" s="67" t="str">
        <f>'EN4554_Intake 2021_New BSc Eng.'!B17</f>
        <v>CHANDRAJITH B.P.L.</v>
      </c>
      <c r="C19" s="64">
        <v>16.5</v>
      </c>
      <c r="D19" s="62">
        <v>18</v>
      </c>
      <c r="E19" s="62">
        <v>5</v>
      </c>
      <c r="F19" s="69">
        <v>4</v>
      </c>
      <c r="G19" s="62">
        <v>12.5</v>
      </c>
      <c r="H19" s="62"/>
      <c r="I19" s="62"/>
      <c r="J19" s="62"/>
      <c r="K19" s="62"/>
      <c r="L19" s="62">
        <f t="shared" si="2"/>
        <v>56</v>
      </c>
      <c r="M19" s="63">
        <f>VLOOKUP($A19, Moodle!$D$2:$V$102, 19, FALSE)</f>
        <v>52.25</v>
      </c>
    </row>
    <row r="20" spans="1:13" ht="19.5" customHeight="1" x14ac:dyDescent="0.3">
      <c r="A20" s="67" t="str">
        <f>'EN4554_Intake 2021_New BSc Eng.'!A18</f>
        <v>210088L</v>
      </c>
      <c r="B20" s="67" t="str">
        <f>'EN4554_Intake 2021_New BSc Eng.'!B18</f>
        <v>COORAY P.L.L.K.</v>
      </c>
      <c r="C20" s="64">
        <v>11.5</v>
      </c>
      <c r="D20" s="62">
        <v>5</v>
      </c>
      <c r="E20" s="62">
        <v>2</v>
      </c>
      <c r="F20" s="69">
        <v>9</v>
      </c>
      <c r="G20" s="62">
        <v>12.5</v>
      </c>
      <c r="H20" s="62">
        <v>0.2</v>
      </c>
      <c r="I20" s="62"/>
      <c r="J20" s="62"/>
      <c r="K20" s="62"/>
      <c r="L20" s="62">
        <f t="shared" si="2"/>
        <v>40.200000000000003</v>
      </c>
      <c r="M20" s="63">
        <f>VLOOKUP($A20, Moodle!$D$2:$V$102, 19, FALSE)</f>
        <v>53.42</v>
      </c>
    </row>
    <row r="21" spans="1:13" ht="19.5" customHeight="1" x14ac:dyDescent="0.3">
      <c r="A21" s="67" t="str">
        <f>'EN4554_Intake 2021_New BSc Eng.'!A19</f>
        <v>210089P</v>
      </c>
      <c r="B21" s="67" t="str">
        <f>'EN4554_Intake 2021_New BSc Eng.'!B19</f>
        <v>DABARE A.D.T.</v>
      </c>
      <c r="C21" s="64">
        <v>15</v>
      </c>
      <c r="D21" s="62">
        <v>20</v>
      </c>
      <c r="E21" s="62">
        <v>13</v>
      </c>
      <c r="F21" s="69">
        <v>11</v>
      </c>
      <c r="G21" s="62">
        <v>12.5</v>
      </c>
      <c r="H21" s="62"/>
      <c r="I21" s="62"/>
      <c r="J21" s="62"/>
      <c r="K21" s="62"/>
      <c r="L21" s="62">
        <f t="shared" si="2"/>
        <v>71.5</v>
      </c>
      <c r="M21" s="63">
        <f>VLOOKUP($A21, Moodle!$D$2:$V$102, 19, FALSE)</f>
        <v>50.29</v>
      </c>
    </row>
    <row r="22" spans="1:13" ht="19.5" customHeight="1" x14ac:dyDescent="0.3">
      <c r="A22" s="67" t="str">
        <f>'EN4554_Intake 2021_New BSc Eng.'!A20</f>
        <v>210095F</v>
      </c>
      <c r="B22" s="67" t="str">
        <f>'EN4554_Intake 2021_New BSc Eng.'!B20</f>
        <v>DASSANAYAKE D.M.T.K.R.</v>
      </c>
      <c r="C22" s="64">
        <v>15</v>
      </c>
      <c r="D22" s="62">
        <v>17</v>
      </c>
      <c r="E22" s="62">
        <v>8</v>
      </c>
      <c r="F22" s="69">
        <v>10</v>
      </c>
      <c r="G22" s="62">
        <v>12.5</v>
      </c>
      <c r="H22" s="62"/>
      <c r="I22" s="62"/>
      <c r="J22" s="62"/>
      <c r="K22" s="62"/>
      <c r="L22" s="62">
        <f t="shared" si="2"/>
        <v>62.5</v>
      </c>
      <c r="M22" s="63">
        <f>VLOOKUP($A22, Moodle!$D$2:$V$102, 19, FALSE)</f>
        <v>50.08</v>
      </c>
    </row>
    <row r="23" spans="1:13" ht="19.5" customHeight="1" x14ac:dyDescent="0.3">
      <c r="A23" s="67" t="str">
        <f>'EN4554_Intake 2021_New BSc Eng.'!A21</f>
        <v>210097M</v>
      </c>
      <c r="B23" s="67" t="str">
        <f>'EN4554_Intake 2021_New BSc Eng.'!B21</f>
        <v>DE SILVA A.N.T.</v>
      </c>
      <c r="C23" s="64">
        <v>6</v>
      </c>
      <c r="D23" s="62">
        <v>3</v>
      </c>
      <c r="E23" s="62">
        <v>6</v>
      </c>
      <c r="F23" s="69">
        <v>9</v>
      </c>
      <c r="G23" s="62">
        <v>12.5</v>
      </c>
      <c r="H23" s="62"/>
      <c r="I23" s="62"/>
      <c r="J23" s="62"/>
      <c r="K23" s="62"/>
      <c r="L23" s="62">
        <f t="shared" si="2"/>
        <v>36.5</v>
      </c>
      <c r="M23" s="63">
        <f>VLOOKUP($A23, Moodle!$D$2:$V$102, 19, FALSE)</f>
        <v>39.96</v>
      </c>
    </row>
    <row r="24" spans="1:13" ht="19.5" customHeight="1" x14ac:dyDescent="0.3">
      <c r="A24" s="67" t="str">
        <f>'EN4554_Intake 2021_New BSc Eng.'!A22</f>
        <v>210108C</v>
      </c>
      <c r="B24" s="67" t="str">
        <f>'EN4554_Intake 2021_New BSc Eng.'!B22</f>
        <v>DE ZOYSA A.K.N.</v>
      </c>
      <c r="C24" s="64">
        <v>13.5</v>
      </c>
      <c r="D24" s="62">
        <v>12</v>
      </c>
      <c r="E24" s="62">
        <v>5</v>
      </c>
      <c r="F24" s="69">
        <v>4</v>
      </c>
      <c r="G24" s="62">
        <v>12.5</v>
      </c>
      <c r="H24" s="62"/>
      <c r="I24" s="62"/>
      <c r="J24" s="62"/>
      <c r="K24" s="62"/>
      <c r="L24" s="62">
        <f t="shared" si="2"/>
        <v>47</v>
      </c>
      <c r="M24" s="63">
        <f>VLOOKUP($A24, Moodle!$D$2:$V$102, 19, FALSE)</f>
        <v>50.05</v>
      </c>
    </row>
    <row r="25" spans="1:13" ht="19.5" customHeight="1" x14ac:dyDescent="0.3">
      <c r="A25" s="67" t="str">
        <f>'EN4554_Intake 2021_New BSc Eng.'!A23</f>
        <v>210121J</v>
      </c>
      <c r="B25" s="67" t="str">
        <f>'EN4554_Intake 2021_New BSc Eng.'!B23</f>
        <v>DHARMADASA W.H.M.A.D.</v>
      </c>
      <c r="C25" s="64">
        <v>10</v>
      </c>
      <c r="D25" s="62">
        <v>5</v>
      </c>
      <c r="E25" s="62">
        <v>6</v>
      </c>
      <c r="F25" s="69">
        <v>5</v>
      </c>
      <c r="G25" s="62">
        <v>12.5</v>
      </c>
      <c r="H25" s="62"/>
      <c r="I25" s="62"/>
      <c r="J25" s="62"/>
      <c r="K25" s="62"/>
      <c r="L25" s="62">
        <f t="shared" si="2"/>
        <v>38.5</v>
      </c>
      <c r="M25" s="63">
        <f>VLOOKUP($A25, Moodle!$D$2:$V$102, 19, FALSE)</f>
        <v>36.04</v>
      </c>
    </row>
    <row r="26" spans="1:13" ht="19.5" customHeight="1" x14ac:dyDescent="0.3">
      <c r="A26" s="67" t="str">
        <f>'EN4554_Intake 2021_New BSc Eng.'!A24</f>
        <v>210130K</v>
      </c>
      <c r="B26" s="67" t="str">
        <f>'EN4554_Intake 2021_New BSc Eng.'!B24</f>
        <v>DILUSHANA H.M.P.S.</v>
      </c>
      <c r="C26" s="64">
        <v>11.5</v>
      </c>
      <c r="D26" s="62">
        <v>5</v>
      </c>
      <c r="E26" s="62">
        <v>5</v>
      </c>
      <c r="F26" s="69">
        <v>3</v>
      </c>
      <c r="G26" s="62">
        <v>12.5</v>
      </c>
      <c r="H26" s="62"/>
      <c r="I26" s="62"/>
      <c r="J26" s="62"/>
      <c r="K26" s="62"/>
      <c r="L26" s="62">
        <f t="shared" si="2"/>
        <v>37</v>
      </c>
      <c r="M26" s="63">
        <f>VLOOKUP($A26, Moodle!$D$2:$V$102, 19, FALSE)</f>
        <v>35.83</v>
      </c>
    </row>
    <row r="27" spans="1:13" ht="19.5" customHeight="1" x14ac:dyDescent="0.3">
      <c r="A27" s="67" t="str">
        <f>'EN4554_Intake 2021_New BSc Eng.'!A25</f>
        <v>210131N</v>
      </c>
      <c r="B27" s="67" t="str">
        <f>'EN4554_Intake 2021_New BSc Eng.'!B25</f>
        <v>DIMAGI D.H.P.</v>
      </c>
      <c r="C27" s="64">
        <v>15</v>
      </c>
      <c r="D27" s="62">
        <v>18</v>
      </c>
      <c r="E27" s="62">
        <v>6</v>
      </c>
      <c r="F27" s="69">
        <v>17</v>
      </c>
      <c r="G27" s="62">
        <v>12.5</v>
      </c>
      <c r="H27" s="62"/>
      <c r="I27" s="62"/>
      <c r="J27" s="62"/>
      <c r="K27" s="62"/>
      <c r="L27" s="62">
        <f t="shared" si="2"/>
        <v>68.5</v>
      </c>
      <c r="M27" s="63">
        <f>VLOOKUP($A27, Moodle!$D$2:$V$102, 19, FALSE)</f>
        <v>55.75</v>
      </c>
    </row>
    <row r="28" spans="1:13" ht="19.5" customHeight="1" x14ac:dyDescent="0.3">
      <c r="A28" s="67" t="str">
        <f>'EN4554_Intake 2021_New BSc Eng.'!A26</f>
        <v>210140P</v>
      </c>
      <c r="B28" s="67" t="str">
        <f>'EN4554_Intake 2021_New BSc Eng.'!B26</f>
        <v>DISSANAYAKA D.M.P.C.</v>
      </c>
      <c r="C28" s="64">
        <v>15</v>
      </c>
      <c r="D28" s="62">
        <v>14</v>
      </c>
      <c r="E28" s="62">
        <v>8</v>
      </c>
      <c r="F28" s="69">
        <v>8</v>
      </c>
      <c r="G28" s="62">
        <v>12.5</v>
      </c>
      <c r="H28" s="62"/>
      <c r="I28" s="62"/>
      <c r="J28" s="62"/>
      <c r="K28" s="62"/>
      <c r="L28" s="62">
        <f t="shared" si="2"/>
        <v>57.5</v>
      </c>
      <c r="M28" s="63">
        <f>VLOOKUP($A28, Moodle!$D$2:$V$102, 19, FALSE)</f>
        <v>50.75</v>
      </c>
    </row>
    <row r="29" spans="1:13" ht="19.5" customHeight="1" x14ac:dyDescent="0.3">
      <c r="A29" s="67" t="str">
        <f>'EN4554_Intake 2021_New BSc Eng.'!A27</f>
        <v>210141U</v>
      </c>
      <c r="B29" s="67" t="str">
        <f>'EN4554_Intake 2021_New BSc Eng.'!B27</f>
        <v>DISSANAYAKA D.M.S.P.</v>
      </c>
      <c r="C29" s="64">
        <v>19.5</v>
      </c>
      <c r="D29" s="62">
        <v>13</v>
      </c>
      <c r="E29" s="62">
        <v>7</v>
      </c>
      <c r="F29" s="69">
        <v>2</v>
      </c>
      <c r="G29" s="62">
        <v>12.5</v>
      </c>
      <c r="H29" s="62"/>
      <c r="I29" s="62"/>
      <c r="J29" s="62"/>
      <c r="K29" s="62"/>
      <c r="L29" s="62">
        <f t="shared" si="2"/>
        <v>54</v>
      </c>
      <c r="M29" s="63">
        <f>VLOOKUP($A29, Moodle!$D$2:$V$102, 19, FALSE)</f>
        <v>52.29</v>
      </c>
    </row>
    <row r="30" spans="1:13" ht="19.5" customHeight="1" x14ac:dyDescent="0.3">
      <c r="A30" s="67" t="str">
        <f>'EN4554_Intake 2021_New BSc Eng.'!A28</f>
        <v>210147T</v>
      </c>
      <c r="B30" s="67" t="str">
        <f>'EN4554_Intake 2021_New BSc Eng.'!B28</f>
        <v>DISSANAYAKE D.M.S.D.</v>
      </c>
      <c r="C30" s="64">
        <v>10</v>
      </c>
      <c r="D30" s="62">
        <v>4</v>
      </c>
      <c r="E30" s="62">
        <v>6</v>
      </c>
      <c r="F30" s="69">
        <v>4</v>
      </c>
      <c r="G30" s="62">
        <v>12.5</v>
      </c>
      <c r="H30" s="62"/>
      <c r="I30" s="62"/>
      <c r="J30" s="62"/>
      <c r="K30" s="62"/>
      <c r="L30" s="62">
        <f t="shared" si="2"/>
        <v>36.5</v>
      </c>
      <c r="M30" s="63">
        <f>VLOOKUP($A30, Moodle!$D$2:$V$102, 19, FALSE)</f>
        <v>42.54</v>
      </c>
    </row>
    <row r="31" spans="1:13" ht="19.5" customHeight="1" x14ac:dyDescent="0.3">
      <c r="A31" s="67" t="str">
        <f>'EN4554_Intake 2021_New BSc Eng.'!A29</f>
        <v>210150V</v>
      </c>
      <c r="B31" s="67" t="str">
        <f>'EN4554_Intake 2021_New BSc Eng.'!B29</f>
        <v>DODANGODA D.K.S.J.</v>
      </c>
      <c r="C31" s="64">
        <v>8</v>
      </c>
      <c r="D31" s="62">
        <v>11</v>
      </c>
      <c r="E31" s="62">
        <v>10</v>
      </c>
      <c r="F31" s="69">
        <v>6</v>
      </c>
      <c r="G31" s="62">
        <v>12.5</v>
      </c>
      <c r="H31" s="62"/>
      <c r="I31" s="62"/>
      <c r="J31" s="62"/>
      <c r="K31" s="62"/>
      <c r="L31" s="62">
        <f t="shared" si="2"/>
        <v>47.5</v>
      </c>
      <c r="M31" s="63">
        <f>VLOOKUP($A31, Moodle!$D$2:$V$102, 19, FALSE)</f>
        <v>47.05</v>
      </c>
    </row>
    <row r="32" spans="1:13" ht="19.5" customHeight="1" x14ac:dyDescent="0.3">
      <c r="A32" s="67" t="str">
        <f>'EN4554_Intake 2021_New BSc Eng.'!A30</f>
        <v>210152E</v>
      </c>
      <c r="B32" s="67" t="str">
        <f>'EN4554_Intake 2021_New BSc Eng.'!B30</f>
        <v>DULNATH W.H.R.</v>
      </c>
      <c r="C32" s="64">
        <v>16.5</v>
      </c>
      <c r="D32" s="62">
        <v>3</v>
      </c>
      <c r="E32" s="62">
        <v>6</v>
      </c>
      <c r="F32" s="69">
        <v>3</v>
      </c>
      <c r="G32" s="62">
        <v>12.5</v>
      </c>
      <c r="H32" s="62">
        <v>0.3</v>
      </c>
      <c r="I32" s="62"/>
      <c r="J32" s="62"/>
      <c r="K32" s="62"/>
      <c r="L32" s="62">
        <f t="shared" si="2"/>
        <v>41.3</v>
      </c>
      <c r="M32" s="63">
        <f>VLOOKUP($A32, Moodle!$D$2:$V$102, 19, FALSE)</f>
        <v>43</v>
      </c>
    </row>
    <row r="33" spans="1:13" ht="19.5" customHeight="1" x14ac:dyDescent="0.3">
      <c r="A33" s="67" t="str">
        <f>'EN4554_Intake 2021_New BSc Eng.'!A31</f>
        <v>210153H</v>
      </c>
      <c r="B33" s="67" t="str">
        <f>'EN4554_Intake 2021_New BSc Eng.'!B31</f>
        <v>EDIRISINGHE E.A.D.D.D.</v>
      </c>
      <c r="C33" s="64">
        <v>19.5</v>
      </c>
      <c r="D33" s="62">
        <v>13</v>
      </c>
      <c r="E33" s="62">
        <v>4</v>
      </c>
      <c r="F33" s="69">
        <v>3</v>
      </c>
      <c r="G33" s="62">
        <v>12.5</v>
      </c>
      <c r="H33" s="62"/>
      <c r="I33" s="62"/>
      <c r="J33" s="62"/>
      <c r="K33" s="62"/>
      <c r="L33" s="62">
        <f t="shared" si="2"/>
        <v>52</v>
      </c>
      <c r="M33" s="63">
        <f>VLOOKUP($A33, Moodle!$D$2:$V$102, 19, FALSE)</f>
        <v>52.21</v>
      </c>
    </row>
    <row r="34" spans="1:13" ht="19.5" customHeight="1" x14ac:dyDescent="0.3">
      <c r="A34" s="67" t="str">
        <f>'EN4554_Intake 2021_New BSc Eng.'!A32</f>
        <v>210156U</v>
      </c>
      <c r="B34" s="67" t="str">
        <f>'EN4554_Intake 2021_New BSc Eng.'!B32</f>
        <v>EPA Y.L.A.</v>
      </c>
      <c r="C34" s="64">
        <v>15.5</v>
      </c>
      <c r="D34" s="62">
        <v>17</v>
      </c>
      <c r="E34" s="62">
        <v>6</v>
      </c>
      <c r="F34" s="69">
        <v>6</v>
      </c>
      <c r="G34" s="62">
        <v>12.5</v>
      </c>
      <c r="H34" s="62"/>
      <c r="I34" s="62"/>
      <c r="J34" s="62"/>
      <c r="K34" s="62"/>
      <c r="L34" s="62">
        <f t="shared" si="2"/>
        <v>57</v>
      </c>
      <c r="M34" s="63">
        <f>VLOOKUP($A34, Moodle!$D$2:$V$102, 19, FALSE)</f>
        <v>54.25</v>
      </c>
    </row>
    <row r="35" spans="1:13" ht="19.5" customHeight="1" x14ac:dyDescent="0.3">
      <c r="A35" s="67" t="str">
        <f>'EN4554_Intake 2021_New BSc Eng.'!A33</f>
        <v>210157A</v>
      </c>
      <c r="B35" s="67" t="str">
        <f>'EN4554_Intake 2021_New BSc Eng.'!B33</f>
        <v>EPA Y.R.A.</v>
      </c>
      <c r="C35" s="64">
        <v>15.5</v>
      </c>
      <c r="D35" s="62">
        <v>18</v>
      </c>
      <c r="E35" s="62">
        <v>12</v>
      </c>
      <c r="F35" s="69">
        <v>10</v>
      </c>
      <c r="G35" s="62">
        <v>12.5</v>
      </c>
      <c r="H35" s="62"/>
      <c r="I35" s="62"/>
      <c r="J35" s="62"/>
      <c r="K35" s="62"/>
      <c r="L35" s="62">
        <f t="shared" si="2"/>
        <v>68</v>
      </c>
      <c r="M35" s="63">
        <f>VLOOKUP($A35, Moodle!$D$2:$V$102, 19, FALSE)</f>
        <v>56.25</v>
      </c>
    </row>
    <row r="36" spans="1:13" ht="19.5" customHeight="1" x14ac:dyDescent="0.3">
      <c r="A36" s="67" t="str">
        <f>'EN4554_Intake 2021_New BSc Eng.'!A34</f>
        <v>210162J</v>
      </c>
      <c r="B36" s="67" t="str">
        <f>'EN4554_Intake 2021_New BSc Eng.'!B34</f>
        <v>FERNANDO N.I.S.P.</v>
      </c>
      <c r="C36" s="64">
        <v>6</v>
      </c>
      <c r="D36" s="62">
        <v>9</v>
      </c>
      <c r="E36" s="62">
        <v>5</v>
      </c>
      <c r="F36" s="69">
        <v>4</v>
      </c>
      <c r="G36" s="62">
        <v>12.5</v>
      </c>
      <c r="H36" s="62"/>
      <c r="I36" s="62"/>
      <c r="J36" s="62"/>
      <c r="K36" s="62"/>
      <c r="L36" s="62">
        <f t="shared" si="2"/>
        <v>36.5</v>
      </c>
      <c r="M36" s="63">
        <f>VLOOKUP($A36, Moodle!$D$2:$V$102, 19, FALSE)</f>
        <v>37.75</v>
      </c>
    </row>
    <row r="37" spans="1:13" ht="19.5" customHeight="1" x14ac:dyDescent="0.3">
      <c r="A37" s="67" t="str">
        <f>'EN4554_Intake 2021_New BSc Eng.'!A35</f>
        <v>210169L</v>
      </c>
      <c r="B37" s="67" t="str">
        <f>'EN4554_Intake 2021_New BSc Eng.'!B35</f>
        <v>FERNANDO W.W.R.N.S.</v>
      </c>
      <c r="C37" s="64">
        <v>20</v>
      </c>
      <c r="D37" s="62">
        <v>18</v>
      </c>
      <c r="E37" s="62">
        <v>5</v>
      </c>
      <c r="F37" s="69">
        <v>13</v>
      </c>
      <c r="G37" s="62">
        <v>12.5</v>
      </c>
      <c r="H37" s="62"/>
      <c r="I37" s="62"/>
      <c r="J37" s="62"/>
      <c r="K37" s="62"/>
      <c r="L37" s="62">
        <f t="shared" si="2"/>
        <v>68.5</v>
      </c>
      <c r="M37" s="63">
        <f>VLOOKUP($A37, Moodle!$D$2:$V$102, 19, FALSE)</f>
        <v>51.46</v>
      </c>
    </row>
    <row r="38" spans="1:13" ht="19.5" customHeight="1" x14ac:dyDescent="0.3">
      <c r="A38" s="67" t="str">
        <f>'EN4554_Intake 2021_New BSc Eng.'!A36</f>
        <v>210174X</v>
      </c>
      <c r="B38" s="67" t="str">
        <f>'EN4554_Intake 2021_New BSc Eng.'!B36</f>
        <v>GALLELLA M.M.H.H.B.</v>
      </c>
      <c r="C38" s="64">
        <v>19</v>
      </c>
      <c r="D38" s="62">
        <v>11</v>
      </c>
      <c r="E38" s="62">
        <v>17</v>
      </c>
      <c r="F38" s="69">
        <v>16</v>
      </c>
      <c r="G38" s="62">
        <v>12.5</v>
      </c>
      <c r="H38" s="62"/>
      <c r="I38" s="62"/>
      <c r="J38" s="62"/>
      <c r="K38" s="62"/>
      <c r="L38" s="62">
        <f t="shared" si="2"/>
        <v>75.5</v>
      </c>
      <c r="M38" s="63">
        <f>VLOOKUP($A38, Moodle!$D$2:$V$102, 19, FALSE)</f>
        <v>58.79</v>
      </c>
    </row>
    <row r="39" spans="1:13" ht="19.5" customHeight="1" x14ac:dyDescent="0.3">
      <c r="A39" s="67" t="str">
        <f>'EN4554_Intake 2021_New BSc Eng.'!A37</f>
        <v>210179R</v>
      </c>
      <c r="B39" s="67" t="str">
        <f>'EN4554_Intake 2021_New BSc Eng.'!B37</f>
        <v>GAMMUNE D.J.T.</v>
      </c>
      <c r="C39" s="64">
        <v>13.5</v>
      </c>
      <c r="D39" s="62">
        <v>15</v>
      </c>
      <c r="E39" s="62">
        <v>15</v>
      </c>
      <c r="F39" s="69">
        <v>12</v>
      </c>
      <c r="G39" s="62">
        <v>12.5</v>
      </c>
      <c r="H39" s="62"/>
      <c r="I39" s="62"/>
      <c r="J39" s="62"/>
      <c r="K39" s="62"/>
      <c r="L39" s="62">
        <f t="shared" si="2"/>
        <v>68</v>
      </c>
      <c r="M39" s="63">
        <f>VLOOKUP($A39, Moodle!$D$2:$V$102, 19, FALSE)</f>
        <v>51.54</v>
      </c>
    </row>
    <row r="40" spans="1:13" ht="19.5" customHeight="1" x14ac:dyDescent="0.3">
      <c r="A40" s="67" t="str">
        <f>'EN4554_Intake 2021_New BSc Eng.'!A38</f>
        <v>210199D</v>
      </c>
      <c r="B40" s="67" t="str">
        <f>'EN4554_Intake 2021_New BSc Eng.'!B38</f>
        <v>GUNAWARDANA W.N.M.</v>
      </c>
      <c r="C40" s="64">
        <v>14</v>
      </c>
      <c r="D40" s="62">
        <v>16</v>
      </c>
      <c r="E40" s="62">
        <v>8</v>
      </c>
      <c r="F40" s="69">
        <v>7</v>
      </c>
      <c r="G40" s="62">
        <v>12.5</v>
      </c>
      <c r="H40" s="62"/>
      <c r="I40" s="62"/>
      <c r="J40" s="62"/>
      <c r="K40" s="62"/>
      <c r="L40" s="62">
        <f t="shared" si="2"/>
        <v>57.5</v>
      </c>
      <c r="M40" s="63">
        <f>VLOOKUP($A40, Moodle!$D$2:$V$102, 19, FALSE)</f>
        <v>49.38</v>
      </c>
    </row>
    <row r="41" spans="1:13" ht="19.5" customHeight="1" x14ac:dyDescent="0.3">
      <c r="A41" s="67" t="str">
        <f>'EN4554_Intake 2021_New BSc Eng.'!A39</f>
        <v>210200C</v>
      </c>
      <c r="B41" s="67" t="str">
        <f>'EN4554_Intake 2021_New BSc Eng.'!B39</f>
        <v>GUNAWARDANE E.R.N.H.</v>
      </c>
      <c r="C41" s="64">
        <v>17.5</v>
      </c>
      <c r="D41" s="62">
        <v>16</v>
      </c>
      <c r="E41" s="62">
        <v>13</v>
      </c>
      <c r="F41" s="69">
        <v>11</v>
      </c>
      <c r="G41" s="62">
        <v>12.5</v>
      </c>
      <c r="H41" s="62"/>
      <c r="I41" s="62"/>
      <c r="J41" s="62"/>
      <c r="K41" s="62"/>
      <c r="L41" s="62">
        <f t="shared" si="2"/>
        <v>70</v>
      </c>
      <c r="M41" s="63">
        <f>VLOOKUP($A41, Moodle!$D$2:$V$102, 19, FALSE)</f>
        <v>53.33</v>
      </c>
    </row>
    <row r="42" spans="1:13" ht="19.5" customHeight="1" x14ac:dyDescent="0.3">
      <c r="A42" s="67" t="str">
        <f>'EN4554_Intake 2021_New BSc Eng.'!A40</f>
        <v>210204R</v>
      </c>
      <c r="B42" s="67" t="str">
        <f>'EN4554_Intake 2021_New BSc Eng.'!B40</f>
        <v>HANSINDU K.A.A.</v>
      </c>
      <c r="C42" s="64">
        <v>19</v>
      </c>
      <c r="D42" s="62">
        <v>14</v>
      </c>
      <c r="E42" s="62">
        <v>10</v>
      </c>
      <c r="F42" s="69">
        <v>5</v>
      </c>
      <c r="G42" s="62">
        <v>12.5</v>
      </c>
      <c r="H42" s="62"/>
      <c r="I42" s="62"/>
      <c r="J42" s="62"/>
      <c r="K42" s="62"/>
      <c r="L42" s="62">
        <f t="shared" si="2"/>
        <v>60.5</v>
      </c>
      <c r="M42" s="63">
        <f>VLOOKUP($A42, Moodle!$D$2:$V$102, 19, FALSE)</f>
        <v>55.42</v>
      </c>
    </row>
    <row r="43" spans="1:13" ht="19.5" customHeight="1" x14ac:dyDescent="0.3">
      <c r="A43" s="67" t="str">
        <f>'EN4554_Intake 2021_New BSc Eng.'!A41</f>
        <v>210212N</v>
      </c>
      <c r="B43" s="67" t="str">
        <f>'EN4554_Intake 2021_New BSc Eng.'!B41</f>
        <v>HERATH B.H.M.K.S.B.</v>
      </c>
      <c r="C43" s="64">
        <v>15.5</v>
      </c>
      <c r="D43" s="62">
        <v>17</v>
      </c>
      <c r="E43" s="62">
        <v>5</v>
      </c>
      <c r="F43" s="69">
        <v>17</v>
      </c>
      <c r="G43" s="62">
        <v>12.5</v>
      </c>
      <c r="H43" s="62"/>
      <c r="I43" s="62"/>
      <c r="J43" s="62"/>
      <c r="K43" s="62"/>
      <c r="L43" s="62">
        <f t="shared" si="2"/>
        <v>67</v>
      </c>
      <c r="M43" s="63">
        <f>VLOOKUP($A43, Moodle!$D$2:$V$102, 19, FALSE)</f>
        <v>54</v>
      </c>
    </row>
    <row r="44" spans="1:13" ht="19.5" customHeight="1" x14ac:dyDescent="0.3">
      <c r="A44" s="67" t="str">
        <f>'EN4554_Intake 2021_New BSc Eng.'!A42</f>
        <v>210215C</v>
      </c>
      <c r="B44" s="67" t="str">
        <f>'EN4554_Intake 2021_New BSc Eng.'!B42</f>
        <v>HERATH H.M.D.P.</v>
      </c>
      <c r="C44" s="64">
        <v>8.5</v>
      </c>
      <c r="D44" s="62">
        <v>10</v>
      </c>
      <c r="E44" s="62">
        <v>6</v>
      </c>
      <c r="F44" s="69">
        <v>7</v>
      </c>
      <c r="G44" s="62">
        <v>12.5</v>
      </c>
      <c r="H44" s="62"/>
      <c r="I44" s="62"/>
      <c r="J44" s="62"/>
      <c r="K44" s="62"/>
      <c r="L44" s="62">
        <f t="shared" si="2"/>
        <v>44</v>
      </c>
      <c r="M44" s="63">
        <f>VLOOKUP($A44, Moodle!$D$2:$V$102, 19, FALSE)</f>
        <v>51.96</v>
      </c>
    </row>
    <row r="45" spans="1:13" ht="19.5" customHeight="1" x14ac:dyDescent="0.3">
      <c r="A45" s="67" t="str">
        <f>'EN4554_Intake 2021_New BSc Eng.'!A43</f>
        <v>210218M</v>
      </c>
      <c r="B45" s="67" t="str">
        <f>'EN4554_Intake 2021_New BSc Eng.'!B43</f>
        <v>HERATH H.M.S.I.</v>
      </c>
      <c r="C45" s="64">
        <v>16.5</v>
      </c>
      <c r="D45" s="62">
        <v>7</v>
      </c>
      <c r="E45" s="62">
        <v>12</v>
      </c>
      <c r="F45" s="69">
        <v>10</v>
      </c>
      <c r="G45" s="62">
        <v>12.5</v>
      </c>
      <c r="H45" s="62"/>
      <c r="I45" s="62"/>
      <c r="J45" s="62"/>
      <c r="K45" s="62"/>
      <c r="L45" s="62">
        <f t="shared" si="2"/>
        <v>58</v>
      </c>
      <c r="M45" s="63">
        <f>VLOOKUP($A45, Moodle!$D$2:$V$102, 19, FALSE)</f>
        <v>54.88</v>
      </c>
    </row>
    <row r="46" spans="1:13" ht="19.5" customHeight="1" x14ac:dyDescent="0.3">
      <c r="A46" s="67" t="str">
        <f>'EN4554_Intake 2021_New BSc Eng.'!A44</f>
        <v>210222U</v>
      </c>
      <c r="B46" s="67" t="str">
        <f>'EN4554_Intake 2021_New BSc Eng.'!B44</f>
        <v>HEWAGAMAGE K.L.N.</v>
      </c>
      <c r="C46" s="64">
        <v>12</v>
      </c>
      <c r="D46" s="62">
        <v>13</v>
      </c>
      <c r="E46" s="62">
        <v>7</v>
      </c>
      <c r="F46" s="69">
        <v>12</v>
      </c>
      <c r="G46" s="62">
        <v>12.5</v>
      </c>
      <c r="H46" s="62"/>
      <c r="I46" s="62"/>
      <c r="J46" s="62"/>
      <c r="K46" s="62"/>
      <c r="L46" s="62">
        <f t="shared" si="2"/>
        <v>56.5</v>
      </c>
      <c r="M46" s="63">
        <f>VLOOKUP($A46, Moodle!$D$2:$V$102, 19, FALSE)</f>
        <v>56.79</v>
      </c>
    </row>
    <row r="47" spans="1:13" ht="19.5" customHeight="1" x14ac:dyDescent="0.3">
      <c r="A47" s="67" t="str">
        <f>'EN4554_Intake 2021_New BSc Eng.'!A45</f>
        <v>210234H</v>
      </c>
      <c r="B47" s="67" t="str">
        <f>'EN4554_Intake 2021_New BSc Eng.'!B45</f>
        <v>JANANDITH W.A.O.</v>
      </c>
      <c r="C47" s="64">
        <v>15</v>
      </c>
      <c r="D47" s="62">
        <v>19</v>
      </c>
      <c r="E47" s="62">
        <v>9</v>
      </c>
      <c r="F47" s="69">
        <v>10</v>
      </c>
      <c r="G47" s="62">
        <v>12.5</v>
      </c>
      <c r="H47" s="62"/>
      <c r="I47" s="62"/>
      <c r="J47" s="62"/>
      <c r="K47" s="62"/>
      <c r="L47" s="62">
        <f t="shared" si="2"/>
        <v>65.5</v>
      </c>
      <c r="M47" s="63">
        <f>VLOOKUP($A47, Moodle!$D$2:$V$102, 19, FALSE)</f>
        <v>52.43</v>
      </c>
    </row>
    <row r="48" spans="1:13" ht="19.5" customHeight="1" x14ac:dyDescent="0.3">
      <c r="A48" s="67" t="str">
        <f>'EN4554_Intake 2021_New BSc Eng.'!A46</f>
        <v>210236P</v>
      </c>
      <c r="B48" s="67" t="str">
        <f>'EN4554_Intake 2021_New BSc Eng.'!B46</f>
        <v>JAYAKUMAR W.S.</v>
      </c>
      <c r="C48" s="64">
        <v>17</v>
      </c>
      <c r="D48" s="62">
        <v>19</v>
      </c>
      <c r="E48" s="62">
        <v>13</v>
      </c>
      <c r="F48" s="69">
        <v>14</v>
      </c>
      <c r="G48" s="62">
        <v>12.5</v>
      </c>
      <c r="H48" s="62"/>
      <c r="I48" s="62"/>
      <c r="J48" s="62"/>
      <c r="K48" s="62"/>
      <c r="L48" s="62">
        <f t="shared" si="2"/>
        <v>75.5</v>
      </c>
      <c r="M48" s="63">
        <f>VLOOKUP($A48, Moodle!$D$2:$V$102, 19, FALSE)</f>
        <v>54.5</v>
      </c>
    </row>
    <row r="49" spans="1:13" ht="19.5" customHeight="1" x14ac:dyDescent="0.3">
      <c r="A49" s="67" t="str">
        <f>'EN4554_Intake 2021_New BSc Eng.'!A47</f>
        <v>210248E</v>
      </c>
      <c r="B49" s="67" t="str">
        <f>'EN4554_Intake 2021_New BSc Eng.'!B47</f>
        <v>JAYASINGHE J.M.C.N.B.</v>
      </c>
      <c r="C49" s="64">
        <v>8</v>
      </c>
      <c r="D49" s="62">
        <v>12</v>
      </c>
      <c r="E49" s="62">
        <v>8</v>
      </c>
      <c r="F49" s="69">
        <v>4</v>
      </c>
      <c r="G49" s="62">
        <v>12.5</v>
      </c>
      <c r="H49" s="62"/>
      <c r="I49" s="62"/>
      <c r="J49" s="62"/>
      <c r="K49" s="62"/>
      <c r="L49" s="62">
        <f t="shared" si="2"/>
        <v>44.5</v>
      </c>
      <c r="M49" s="63">
        <f>VLOOKUP($A49, Moodle!$D$2:$V$102, 19, FALSE)</f>
        <v>48.96</v>
      </c>
    </row>
    <row r="50" spans="1:13" ht="19.5" customHeight="1" x14ac:dyDescent="0.3">
      <c r="A50" s="67" t="str">
        <f>'EN4554_Intake 2021_New BSc Eng.'!A48</f>
        <v>210253N</v>
      </c>
      <c r="B50" s="67" t="str">
        <f>'EN4554_Intake 2021_New BSc Eng.'!B48</f>
        <v>JAYATHILAKA C.B.N.L.</v>
      </c>
      <c r="C50" s="64">
        <v>13.5</v>
      </c>
      <c r="D50" s="62">
        <v>14</v>
      </c>
      <c r="E50" s="62">
        <v>12</v>
      </c>
      <c r="F50" s="69">
        <v>16</v>
      </c>
      <c r="G50" s="62">
        <v>12.5</v>
      </c>
      <c r="H50" s="62"/>
      <c r="I50" s="62"/>
      <c r="J50" s="62"/>
      <c r="K50" s="62"/>
      <c r="L50" s="62">
        <f t="shared" si="2"/>
        <v>68</v>
      </c>
      <c r="M50" s="63">
        <f>VLOOKUP($A50, Moodle!$D$2:$V$102, 19, FALSE)</f>
        <v>53.85</v>
      </c>
    </row>
    <row r="51" spans="1:13" ht="19.5" customHeight="1" x14ac:dyDescent="0.3">
      <c r="A51" s="67" t="str">
        <f>'EN4554_Intake 2021_New BSc Eng.'!A49</f>
        <v>210254T</v>
      </c>
      <c r="B51" s="67" t="str">
        <f>'EN4554_Intake 2021_New BSc Eng.'!B49</f>
        <v>JAYATHILAKA D.E.U.</v>
      </c>
      <c r="C51" s="64">
        <v>15.5</v>
      </c>
      <c r="D51" s="62">
        <v>16</v>
      </c>
      <c r="E51" s="62">
        <v>8</v>
      </c>
      <c r="F51" s="69">
        <v>11</v>
      </c>
      <c r="G51" s="62">
        <v>12.5</v>
      </c>
      <c r="H51" s="62"/>
      <c r="I51" s="62"/>
      <c r="J51" s="62"/>
      <c r="K51" s="62"/>
      <c r="L51" s="62">
        <f t="shared" si="2"/>
        <v>63</v>
      </c>
      <c r="M51" s="63">
        <f>VLOOKUP($A51, Moodle!$D$2:$V$102, 19, FALSE)</f>
        <v>54.08</v>
      </c>
    </row>
    <row r="52" spans="1:13" ht="19.5" customHeight="1" x14ac:dyDescent="0.3">
      <c r="A52" s="67" t="str">
        <f>'EN4554_Intake 2021_New BSc Eng.'!A50</f>
        <v>210258J</v>
      </c>
      <c r="B52" s="67" t="str">
        <f>'EN4554_Intake 2021_New BSc Eng.'!B50</f>
        <v>JAYATHISSA R.M.K.C.</v>
      </c>
      <c r="C52" s="64">
        <v>16.5</v>
      </c>
      <c r="D52" s="62">
        <v>20</v>
      </c>
      <c r="E52" s="62">
        <v>8</v>
      </c>
      <c r="F52" s="69">
        <v>9</v>
      </c>
      <c r="G52" s="62">
        <v>12.5</v>
      </c>
      <c r="H52" s="62"/>
      <c r="I52" s="62"/>
      <c r="J52" s="62"/>
      <c r="K52" s="62"/>
      <c r="L52" s="62">
        <f t="shared" si="2"/>
        <v>66</v>
      </c>
      <c r="M52" s="63">
        <f>VLOOKUP($A52, Moodle!$D$2:$V$102, 19, FALSE)</f>
        <v>52.63</v>
      </c>
    </row>
    <row r="53" spans="1:13" ht="19.5" customHeight="1" x14ac:dyDescent="0.3">
      <c r="A53" s="67" t="str">
        <f>'EN4554_Intake 2021_New BSc Eng.'!A51</f>
        <v>210269T</v>
      </c>
      <c r="B53" s="67" t="str">
        <f>'EN4554_Intake 2021_New BSc Eng.'!B51</f>
        <v>KALUNAYAKA K.A.A.K.L.</v>
      </c>
      <c r="C53" s="64">
        <v>12.5</v>
      </c>
      <c r="D53" s="62">
        <v>11</v>
      </c>
      <c r="E53" s="62">
        <v>2</v>
      </c>
      <c r="F53" s="69">
        <v>6</v>
      </c>
      <c r="G53" s="62">
        <v>12.5</v>
      </c>
      <c r="H53" s="62"/>
      <c r="I53" s="62"/>
      <c r="J53" s="62"/>
      <c r="K53" s="62"/>
      <c r="L53" s="62">
        <f t="shared" si="2"/>
        <v>44</v>
      </c>
      <c r="M53" s="63">
        <f>VLOOKUP($A53, Moodle!$D$2:$V$102, 19, FALSE)</f>
        <v>43.29</v>
      </c>
    </row>
    <row r="54" spans="1:13" ht="19.5" customHeight="1" x14ac:dyDescent="0.3">
      <c r="A54" s="67" t="str">
        <f>'EN4554_Intake 2021_New BSc Eng.'!A52</f>
        <v>210272V</v>
      </c>
      <c r="B54" s="67" t="str">
        <f>'EN4554_Intake 2021_New BSc Eng.'!B52</f>
        <v>KARAVITA K.V.D.T.N.</v>
      </c>
      <c r="C54" s="64">
        <v>19.5</v>
      </c>
      <c r="D54" s="62">
        <v>17</v>
      </c>
      <c r="E54" s="62">
        <v>11</v>
      </c>
      <c r="F54" s="69">
        <v>15</v>
      </c>
      <c r="G54" s="62">
        <v>12.5</v>
      </c>
      <c r="H54" s="62">
        <v>1</v>
      </c>
      <c r="I54" s="62"/>
      <c r="J54" s="62"/>
      <c r="K54" s="62"/>
      <c r="L54" s="62">
        <f t="shared" si="2"/>
        <v>76</v>
      </c>
      <c r="M54" s="63">
        <f>VLOOKUP($A54, Moodle!$D$2:$V$102, 19, FALSE)</f>
        <v>54.1</v>
      </c>
    </row>
    <row r="55" spans="1:13" ht="19.5" customHeight="1" x14ac:dyDescent="0.3">
      <c r="A55" s="67" t="str">
        <f>'EN4554_Intake 2021_New BSc Eng.'!A53</f>
        <v>210286R</v>
      </c>
      <c r="B55" s="67" t="str">
        <f>'EN4554_Intake 2021_New BSc Eng.'!B53</f>
        <v>KELAART D.J.</v>
      </c>
      <c r="C55" s="64">
        <v>10</v>
      </c>
      <c r="D55" s="62">
        <v>5</v>
      </c>
      <c r="E55" s="62">
        <v>4</v>
      </c>
      <c r="F55" s="69">
        <v>0</v>
      </c>
      <c r="G55" s="62">
        <v>16</v>
      </c>
      <c r="H55" s="62"/>
      <c r="I55" s="62"/>
      <c r="J55" s="62"/>
      <c r="K55" s="62"/>
      <c r="L55" s="62">
        <f t="shared" si="2"/>
        <v>35</v>
      </c>
      <c r="M55" s="63">
        <f>VLOOKUP($A55, Moodle!$D$2:$V$102, 19, FALSE) -(G55-11)/4*6</f>
        <v>29.17</v>
      </c>
    </row>
    <row r="56" spans="1:13" ht="19.5" customHeight="1" x14ac:dyDescent="0.3">
      <c r="A56" s="67" t="str">
        <f>'EN4554_Intake 2021_New BSc Eng.'!A54</f>
        <v>210292G</v>
      </c>
      <c r="B56" s="67" t="str">
        <f>'EN4554_Intake 2021_New BSc Eng.'!B54</f>
        <v>KIRUSHANTH G.</v>
      </c>
      <c r="C56" s="64">
        <v>18</v>
      </c>
      <c r="D56" s="62">
        <v>16</v>
      </c>
      <c r="E56" s="62">
        <v>10</v>
      </c>
      <c r="F56" s="69">
        <v>4</v>
      </c>
      <c r="G56" s="62">
        <v>12.5</v>
      </c>
      <c r="H56" s="62"/>
      <c r="I56" s="62"/>
      <c r="J56" s="62"/>
      <c r="K56" s="62"/>
      <c r="L56" s="62">
        <f t="shared" si="2"/>
        <v>60.5</v>
      </c>
      <c r="M56" s="63">
        <f>VLOOKUP($A56, Moodle!$D$2:$V$102, 19, FALSE)</f>
        <v>45.75</v>
      </c>
    </row>
    <row r="57" spans="1:13" ht="19.5" customHeight="1" x14ac:dyDescent="0.3">
      <c r="A57" s="67" t="str">
        <f>'EN4554_Intake 2021_New BSc Eng.'!A55</f>
        <v>210293K</v>
      </c>
      <c r="B57" s="67" t="str">
        <f>'EN4554_Intake 2021_New BSc Eng.'!B55</f>
        <v>KODIKARA U.S.S.</v>
      </c>
      <c r="C57" s="64">
        <v>21</v>
      </c>
      <c r="D57" s="62">
        <v>18</v>
      </c>
      <c r="E57" s="62">
        <v>9</v>
      </c>
      <c r="F57" s="69">
        <v>15</v>
      </c>
      <c r="G57" s="62">
        <v>12.5</v>
      </c>
      <c r="H57" s="62">
        <v>0.3</v>
      </c>
      <c r="I57" s="62"/>
      <c r="J57" s="62"/>
      <c r="K57" s="62"/>
      <c r="L57" s="62">
        <f t="shared" si="2"/>
        <v>75.8</v>
      </c>
      <c r="M57" s="63">
        <f>VLOOKUP($A57, Moodle!$D$2:$V$102, 19, FALSE)</f>
        <v>54.21</v>
      </c>
    </row>
    <row r="58" spans="1:13" ht="19.5" customHeight="1" x14ac:dyDescent="0.3">
      <c r="A58" s="67" t="str">
        <f>'EN4554_Intake 2021_New BSc Eng.'!A56</f>
        <v>210294N</v>
      </c>
      <c r="B58" s="67" t="str">
        <f>'EN4554_Intake 2021_New BSc Eng.'!B56</f>
        <v>KODITHUWAKKU J.N.</v>
      </c>
      <c r="C58" s="64">
        <v>16</v>
      </c>
      <c r="D58" s="62">
        <v>17</v>
      </c>
      <c r="E58" s="62">
        <v>8</v>
      </c>
      <c r="F58" s="69">
        <v>15</v>
      </c>
      <c r="G58" s="62">
        <v>12.5</v>
      </c>
      <c r="H58" s="62"/>
      <c r="I58" s="62"/>
      <c r="J58" s="62"/>
      <c r="K58" s="62"/>
      <c r="L58" s="62">
        <f t="shared" si="2"/>
        <v>68.5</v>
      </c>
      <c r="M58" s="63">
        <f>VLOOKUP($A58, Moodle!$D$2:$V$102, 19, FALSE)</f>
        <v>50.17</v>
      </c>
    </row>
    <row r="59" spans="1:13" ht="19.5" customHeight="1" x14ac:dyDescent="0.3">
      <c r="A59" s="67" t="str">
        <f>'EN4554_Intake 2021_New BSc Eng.'!A57</f>
        <v>210303U</v>
      </c>
      <c r="B59" s="67" t="str">
        <f>'EN4554_Intake 2021_New BSc Eng.'!B57</f>
        <v>KULASINGHAM P.N.</v>
      </c>
      <c r="C59" s="64">
        <v>12.5</v>
      </c>
      <c r="D59" s="62">
        <v>14</v>
      </c>
      <c r="E59" s="62">
        <v>8</v>
      </c>
      <c r="F59" s="69">
        <v>6</v>
      </c>
      <c r="G59" s="62">
        <v>12.5</v>
      </c>
      <c r="H59" s="62"/>
      <c r="I59" s="62"/>
      <c r="J59" s="62"/>
      <c r="K59" s="62"/>
      <c r="L59" s="62">
        <f t="shared" si="2"/>
        <v>53</v>
      </c>
      <c r="M59" s="63">
        <f>VLOOKUP($A59, Moodle!$D$2:$V$102, 19, FALSE)</f>
        <v>52.29</v>
      </c>
    </row>
    <row r="60" spans="1:13" ht="19.5" customHeight="1" x14ac:dyDescent="0.3">
      <c r="A60" s="67" t="str">
        <f>'EN4554_Intake 2021_New BSc Eng.'!A58</f>
        <v>210311R</v>
      </c>
      <c r="B60" s="67" t="str">
        <f>'EN4554_Intake 2021_New BSc Eng.'!B58</f>
        <v>KUMARA R.P.D.R.</v>
      </c>
      <c r="C60" s="64">
        <v>13</v>
      </c>
      <c r="D60" s="62">
        <v>9</v>
      </c>
      <c r="E60" s="62">
        <v>7</v>
      </c>
      <c r="F60" s="69">
        <v>3</v>
      </c>
      <c r="G60" s="62">
        <v>12.5</v>
      </c>
      <c r="H60" s="62"/>
      <c r="I60" s="62"/>
      <c r="J60" s="62"/>
      <c r="K60" s="62"/>
      <c r="L60" s="62">
        <f t="shared" si="2"/>
        <v>44.5</v>
      </c>
      <c r="M60" s="63">
        <f>VLOOKUP($A60, Moodle!$D$2:$V$102, 19, FALSE)</f>
        <v>38.880000000000003</v>
      </c>
    </row>
    <row r="61" spans="1:13" ht="19.5" customHeight="1" x14ac:dyDescent="0.3">
      <c r="A61" s="67" t="str">
        <f>'EN4554_Intake 2021_New BSc Eng.'!A59</f>
        <v>210325M</v>
      </c>
      <c r="B61" s="67" t="str">
        <f>'EN4554_Intake 2021_New BSc Eng.'!B59</f>
        <v>KURUPPU M.P</v>
      </c>
      <c r="C61" s="64">
        <v>15.5</v>
      </c>
      <c r="D61" s="62">
        <v>15</v>
      </c>
      <c r="E61" s="62">
        <v>7</v>
      </c>
      <c r="F61" s="69">
        <v>11</v>
      </c>
      <c r="G61" s="62">
        <v>12.5</v>
      </c>
      <c r="H61" s="62"/>
      <c r="I61" s="62"/>
      <c r="J61" s="62"/>
      <c r="K61" s="62"/>
      <c r="L61" s="62">
        <f t="shared" si="2"/>
        <v>61</v>
      </c>
      <c r="M61" s="63">
        <f>VLOOKUP($A61, Moodle!$D$2:$V$102, 19, FALSE)</f>
        <v>53</v>
      </c>
    </row>
    <row r="62" spans="1:13" ht="19.5" customHeight="1" x14ac:dyDescent="0.3">
      <c r="A62" s="67" t="str">
        <f>'EN4554_Intake 2021_New BSc Eng.'!A60</f>
        <v>210341H</v>
      </c>
      <c r="B62" s="67" t="str">
        <f>'EN4554_Intake 2021_New BSc Eng.'!B60</f>
        <v>LIYANAARACHCHI L.A.S.</v>
      </c>
      <c r="C62" s="64">
        <v>10</v>
      </c>
      <c r="D62" s="62">
        <v>18</v>
      </c>
      <c r="E62" s="62">
        <v>12</v>
      </c>
      <c r="F62" s="69">
        <v>1</v>
      </c>
      <c r="G62" s="62">
        <v>12.5</v>
      </c>
      <c r="H62" s="62"/>
      <c r="I62" s="62"/>
      <c r="J62" s="62"/>
      <c r="K62" s="62"/>
      <c r="L62" s="62">
        <f t="shared" si="2"/>
        <v>53.5</v>
      </c>
      <c r="M62" s="63">
        <f>VLOOKUP($A62, Moodle!$D$2:$V$102, 19, FALSE)</f>
        <v>52.13</v>
      </c>
    </row>
    <row r="63" spans="1:13" ht="19.5" customHeight="1" x14ac:dyDescent="0.3">
      <c r="A63" s="67" t="str">
        <f>'EN4554_Intake 2021_New BSc Eng.'!A61</f>
        <v>210344U</v>
      </c>
      <c r="B63" s="67" t="str">
        <f>'EN4554_Intake 2021_New BSc Eng.'!B61</f>
        <v>LIYANAGE P.L.D.S.K.</v>
      </c>
      <c r="C63" s="64">
        <v>15</v>
      </c>
      <c r="D63" s="62">
        <v>14</v>
      </c>
      <c r="E63" s="62">
        <v>13</v>
      </c>
      <c r="F63" s="69">
        <v>8</v>
      </c>
      <c r="G63" s="62">
        <v>12.5</v>
      </c>
      <c r="H63" s="62"/>
      <c r="I63" s="62"/>
      <c r="J63" s="62"/>
      <c r="K63" s="62"/>
      <c r="L63" s="62">
        <f t="shared" si="2"/>
        <v>62.5</v>
      </c>
      <c r="M63" s="63">
        <f>VLOOKUP($A63, Moodle!$D$2:$V$102, 19, FALSE)</f>
        <v>48</v>
      </c>
    </row>
    <row r="64" spans="1:13" ht="19.5" customHeight="1" x14ac:dyDescent="0.3">
      <c r="A64" s="67" t="str">
        <f>'EN4554_Intake 2021_New BSc Eng.'!A62</f>
        <v>210346D</v>
      </c>
      <c r="B64" s="67" t="str">
        <f>'EN4554_Intake 2021_New BSc Eng.'!B62</f>
        <v>LOKUDADALLA L.D.S.D.</v>
      </c>
      <c r="C64" s="64">
        <v>16.5</v>
      </c>
      <c r="D64" s="62">
        <v>11</v>
      </c>
      <c r="E64" s="62">
        <v>6</v>
      </c>
      <c r="F64" s="69">
        <v>12</v>
      </c>
      <c r="G64" s="62">
        <v>12.5</v>
      </c>
      <c r="H64" s="62"/>
      <c r="I64" s="62"/>
      <c r="J64" s="62"/>
      <c r="K64" s="62"/>
      <c r="L64" s="62">
        <f t="shared" si="2"/>
        <v>58</v>
      </c>
      <c r="M64" s="63">
        <f>VLOOKUP($A64, Moodle!$D$2:$V$102, 19, FALSE)</f>
        <v>53.88</v>
      </c>
    </row>
    <row r="65" spans="1:13" ht="19.5" customHeight="1" x14ac:dyDescent="0.3">
      <c r="A65" s="67" t="str">
        <f>'EN4554_Intake 2021_New BSc Eng.'!A63</f>
        <v>210349N</v>
      </c>
      <c r="B65" s="67" t="str">
        <f>'EN4554_Intake 2021_New BSc Eng.'!B63</f>
        <v>MADHUSHAN I.D.</v>
      </c>
      <c r="C65" s="64">
        <v>13</v>
      </c>
      <c r="D65" s="62">
        <v>13</v>
      </c>
      <c r="E65" s="62">
        <v>10</v>
      </c>
      <c r="F65" s="69">
        <v>6</v>
      </c>
      <c r="G65" s="62">
        <v>12.5</v>
      </c>
      <c r="H65" s="62"/>
      <c r="I65" s="62"/>
      <c r="J65" s="62"/>
      <c r="K65" s="62"/>
      <c r="L65" s="62">
        <f t="shared" si="2"/>
        <v>54.5</v>
      </c>
      <c r="M65" s="63">
        <f>VLOOKUP($A65, Moodle!$D$2:$V$102, 19, FALSE)</f>
        <v>48.29</v>
      </c>
    </row>
    <row r="66" spans="1:13" ht="19.5" customHeight="1" x14ac:dyDescent="0.3">
      <c r="A66" s="67" t="str">
        <f>'EN4554_Intake 2021_New BSc Eng.'!A64</f>
        <v>210378C</v>
      </c>
      <c r="B66" s="67" t="str">
        <f>'EN4554_Intake 2021_New BSc Eng.'!B64</f>
        <v>MAPALAGAMA O.N.</v>
      </c>
      <c r="C66" s="64">
        <v>11</v>
      </c>
      <c r="D66" s="62">
        <v>8</v>
      </c>
      <c r="E66" s="62">
        <v>8</v>
      </c>
      <c r="F66" s="69">
        <v>5</v>
      </c>
      <c r="G66" s="62">
        <v>12.5</v>
      </c>
      <c r="H66" s="62"/>
      <c r="I66" s="62"/>
      <c r="J66" s="62"/>
      <c r="K66" s="62"/>
      <c r="L66" s="62">
        <f t="shared" si="2"/>
        <v>44.5</v>
      </c>
      <c r="M66" s="63">
        <f>VLOOKUP($A66, Moodle!$D$2:$V$102, 19, FALSE)</f>
        <v>46.05</v>
      </c>
    </row>
    <row r="67" spans="1:13" ht="19.5" customHeight="1" x14ac:dyDescent="0.3">
      <c r="A67" s="67" t="str">
        <f>'EN4554_Intake 2021_New BSc Eng.'!A65</f>
        <v>210391J</v>
      </c>
      <c r="B67" s="67" t="str">
        <f>'EN4554_Intake 2021_New BSc Eng.'!B65</f>
        <v>MORAWAKGODA M.K.I.G.</v>
      </c>
      <c r="C67" s="64">
        <v>15.5</v>
      </c>
      <c r="D67" s="62">
        <v>14</v>
      </c>
      <c r="E67" s="62">
        <v>11</v>
      </c>
      <c r="F67" s="69">
        <v>9</v>
      </c>
      <c r="G67" s="62">
        <v>12.5</v>
      </c>
      <c r="H67" s="62"/>
      <c r="I67" s="62"/>
      <c r="J67" s="62"/>
      <c r="K67" s="62"/>
      <c r="L67" s="62">
        <f t="shared" si="2"/>
        <v>62</v>
      </c>
      <c r="M67" s="63">
        <f>VLOOKUP($A67, Moodle!$D$2:$V$102, 19, FALSE)</f>
        <v>52.25</v>
      </c>
    </row>
    <row r="68" spans="1:13" ht="19.5" customHeight="1" x14ac:dyDescent="0.3">
      <c r="A68" s="67" t="str">
        <f>'EN4554_Intake 2021_New BSc Eng.'!A66</f>
        <v>210418C</v>
      </c>
      <c r="B68" s="67" t="str">
        <f>'EN4554_Intake 2021_New BSc Eng.'!B66</f>
        <v>NAYANTHARA J.N.P.</v>
      </c>
      <c r="C68" s="64">
        <v>15.5</v>
      </c>
      <c r="D68" s="62">
        <v>19</v>
      </c>
      <c r="E68" s="62">
        <v>14</v>
      </c>
      <c r="F68" s="69">
        <v>12</v>
      </c>
      <c r="G68" s="62">
        <v>12.5</v>
      </c>
      <c r="H68" s="62">
        <v>0.1</v>
      </c>
      <c r="I68" s="62"/>
      <c r="J68" s="62"/>
      <c r="K68" s="62"/>
      <c r="L68" s="62">
        <f t="shared" si="2"/>
        <v>73.099999999999994</v>
      </c>
      <c r="M68" s="63">
        <f>VLOOKUP($A68, Moodle!$D$2:$V$102, 19, FALSE)</f>
        <v>55.29</v>
      </c>
    </row>
    <row r="69" spans="1:13" ht="19.5" customHeight="1" x14ac:dyDescent="0.3">
      <c r="A69" s="67" t="str">
        <f>'EN4554_Intake 2021_New BSc Eng.'!A67</f>
        <v>210433R</v>
      </c>
      <c r="B69" s="67" t="str">
        <f>'EN4554_Intake 2021_New BSc Eng.'!B67</f>
        <v>NIROSHAN E.M.A.R.</v>
      </c>
      <c r="C69" s="64">
        <v>8</v>
      </c>
      <c r="D69" s="62">
        <v>9</v>
      </c>
      <c r="E69" s="62">
        <v>2</v>
      </c>
      <c r="F69" s="69">
        <v>7</v>
      </c>
      <c r="G69" s="62">
        <v>12.5</v>
      </c>
      <c r="H69" s="62"/>
      <c r="I69" s="62"/>
      <c r="J69" s="62"/>
      <c r="K69" s="62"/>
      <c r="L69" s="62">
        <f t="shared" si="2"/>
        <v>38.5</v>
      </c>
      <c r="M69" s="63">
        <f>VLOOKUP($A69, Moodle!$D$2:$V$102, 19, FALSE)</f>
        <v>50.54</v>
      </c>
    </row>
    <row r="70" spans="1:13" ht="19.5" customHeight="1" x14ac:dyDescent="0.3">
      <c r="A70" s="67" t="str">
        <f>'EN4554_Intake 2021_New BSc Eng.'!A68</f>
        <v>210436E</v>
      </c>
      <c r="B70" s="67" t="str">
        <f>'EN4554_Intake 2021_New BSc Eng.'!B68</f>
        <v>NIROSHANA H.K.Y.</v>
      </c>
      <c r="C70" s="64">
        <v>18</v>
      </c>
      <c r="D70" s="62">
        <v>16</v>
      </c>
      <c r="E70" s="62">
        <v>10</v>
      </c>
      <c r="F70" s="69">
        <v>9</v>
      </c>
      <c r="G70" s="62">
        <v>12.5</v>
      </c>
      <c r="H70" s="62"/>
      <c r="I70" s="62"/>
      <c r="J70" s="62"/>
      <c r="K70" s="62"/>
      <c r="L70" s="62">
        <f t="shared" si="2"/>
        <v>65.5</v>
      </c>
      <c r="M70" s="63">
        <f>VLOOKUP($A70, Moodle!$D$2:$V$102, 19, FALSE)</f>
        <v>45</v>
      </c>
    </row>
    <row r="71" spans="1:13" ht="19.5" customHeight="1" x14ac:dyDescent="0.3">
      <c r="A71" s="67" t="str">
        <f>'EN4554_Intake 2021_New BSc Eng.'!A69</f>
        <v>210452A</v>
      </c>
      <c r="B71" s="67" t="str">
        <f>'EN4554_Intake 2021_New BSc Eng.'!B69</f>
        <v>PATHIRANA S.M.V.</v>
      </c>
      <c r="C71" s="64">
        <v>13</v>
      </c>
      <c r="D71" s="62">
        <v>15</v>
      </c>
      <c r="E71" s="62">
        <v>3</v>
      </c>
      <c r="F71" s="69">
        <v>6</v>
      </c>
      <c r="G71" s="62">
        <v>12.5</v>
      </c>
      <c r="H71" s="62"/>
      <c r="I71" s="62"/>
      <c r="J71" s="62"/>
      <c r="K71" s="62"/>
      <c r="L71" s="62">
        <f t="shared" si="2"/>
        <v>49.5</v>
      </c>
      <c r="M71" s="63">
        <f>VLOOKUP($A71, Moodle!$D$2:$V$102, 19, FALSE)</f>
        <v>48.25</v>
      </c>
    </row>
    <row r="72" spans="1:13" ht="19.5" customHeight="1" x14ac:dyDescent="0.3">
      <c r="A72" s="67" t="str">
        <f>'EN4554_Intake 2021_New BSc Eng.'!A70</f>
        <v>210454G</v>
      </c>
      <c r="B72" s="67" t="str">
        <f>'EN4554_Intake 2021_New BSc Eng.'!B70</f>
        <v>PEIRIS D.L.C.J.</v>
      </c>
      <c r="C72" s="64">
        <v>8.5</v>
      </c>
      <c r="D72" s="62">
        <v>9</v>
      </c>
      <c r="E72" s="62">
        <v>5</v>
      </c>
      <c r="F72" s="69">
        <v>5</v>
      </c>
      <c r="G72" s="62">
        <v>12.5</v>
      </c>
      <c r="H72" s="62"/>
      <c r="I72" s="62"/>
      <c r="J72" s="62"/>
      <c r="K72" s="62"/>
      <c r="L72" s="62">
        <f t="shared" si="2"/>
        <v>40</v>
      </c>
      <c r="M72" s="63">
        <f>VLOOKUP($A72, Moodle!$D$2:$V$102, 19, FALSE)</f>
        <v>47.88</v>
      </c>
    </row>
    <row r="73" spans="1:13" ht="19.5" customHeight="1" x14ac:dyDescent="0.3">
      <c r="A73" s="67" t="str">
        <f>'EN4554_Intake 2021_New BSc Eng.'!A71</f>
        <v>210463H</v>
      </c>
      <c r="B73" s="67" t="str">
        <f>'EN4554_Intake 2021_New BSc Eng.'!B71</f>
        <v>PERERA L.C.S.</v>
      </c>
      <c r="C73" s="64">
        <v>11.5</v>
      </c>
      <c r="D73" s="62">
        <v>5</v>
      </c>
      <c r="E73" s="62">
        <v>12</v>
      </c>
      <c r="F73" s="69">
        <v>10</v>
      </c>
      <c r="G73" s="62">
        <v>12.5</v>
      </c>
      <c r="H73" s="62"/>
      <c r="I73" s="62"/>
      <c r="J73" s="62"/>
      <c r="K73" s="62"/>
      <c r="L73" s="62">
        <f t="shared" si="2"/>
        <v>51</v>
      </c>
      <c r="M73" s="63">
        <f>VLOOKUP($A73, Moodle!$D$2:$V$102, 19, FALSE)</f>
        <v>50.75</v>
      </c>
    </row>
    <row r="74" spans="1:13" ht="19.5" customHeight="1" x14ac:dyDescent="0.3">
      <c r="A74" s="67" t="str">
        <f>'EN4554_Intake 2021_New BSc Eng.'!A72</f>
        <v>210465P</v>
      </c>
      <c r="B74" s="67" t="str">
        <f>'EN4554_Intake 2021_New BSc Eng.'!B72</f>
        <v>PERERA M.D.B.</v>
      </c>
      <c r="C74" s="64">
        <v>15.5</v>
      </c>
      <c r="D74" s="62">
        <v>17</v>
      </c>
      <c r="E74" s="62">
        <v>10</v>
      </c>
      <c r="F74" s="69">
        <v>6</v>
      </c>
      <c r="G74" s="62">
        <v>12.5</v>
      </c>
      <c r="H74" s="62">
        <v>1</v>
      </c>
      <c r="I74" s="62"/>
      <c r="J74" s="62"/>
      <c r="K74" s="62"/>
      <c r="L74" s="62">
        <f t="shared" si="2"/>
        <v>62</v>
      </c>
      <c r="M74" s="63">
        <f>VLOOKUP($A74, Moodle!$D$2:$V$102, 19, FALSE)</f>
        <v>49.71</v>
      </c>
    </row>
    <row r="75" spans="1:13" ht="19.5" customHeight="1" x14ac:dyDescent="0.3">
      <c r="A75" s="67" t="str">
        <f>'EN4554_Intake 2021_New BSc Eng.'!A73</f>
        <v>210476B</v>
      </c>
      <c r="B75" s="67" t="str">
        <f>'EN4554_Intake 2021_New BSc Eng.'!B73</f>
        <v>PIRAGASH P.</v>
      </c>
      <c r="C75" s="64">
        <v>9</v>
      </c>
      <c r="D75" s="62">
        <v>10</v>
      </c>
      <c r="E75" s="62">
        <v>2</v>
      </c>
      <c r="F75" s="69">
        <v>4</v>
      </c>
      <c r="G75" s="62">
        <v>12.5</v>
      </c>
      <c r="H75" s="62"/>
      <c r="I75" s="62"/>
      <c r="J75" s="62"/>
      <c r="K75" s="62"/>
      <c r="L75" s="62">
        <f t="shared" si="2"/>
        <v>37.5</v>
      </c>
      <c r="M75" s="63">
        <f>VLOOKUP($A75, Moodle!$D$2:$V$102, 19, FALSE)</f>
        <v>45.75</v>
      </c>
    </row>
    <row r="76" spans="1:13" ht="19.5" customHeight="1" x14ac:dyDescent="0.3">
      <c r="A76" s="67" t="str">
        <f>'EN4554_Intake 2021_New BSc Eng.'!A74</f>
        <v>210479L</v>
      </c>
      <c r="B76" s="67" t="str">
        <f>'EN4554_Intake 2021_New BSc Eng.'!B74</f>
        <v>PITIWADUGE R.P.</v>
      </c>
      <c r="C76" s="64">
        <v>16</v>
      </c>
      <c r="D76" s="62">
        <v>19</v>
      </c>
      <c r="E76" s="62">
        <v>16</v>
      </c>
      <c r="F76" s="69">
        <v>9</v>
      </c>
      <c r="G76" s="62">
        <v>12.5</v>
      </c>
      <c r="H76" s="62"/>
      <c r="I76" s="62"/>
      <c r="J76" s="62"/>
      <c r="K76" s="62"/>
      <c r="L76" s="62">
        <f t="shared" si="2"/>
        <v>72.5</v>
      </c>
      <c r="M76" s="63">
        <f>VLOOKUP($A76, Moodle!$D$2:$V$102, 19, FALSE)</f>
        <v>48.75</v>
      </c>
    </row>
    <row r="77" spans="1:13" ht="19.5" customHeight="1" x14ac:dyDescent="0.3">
      <c r="A77" s="67" t="str">
        <f>'EN4554_Intake 2021_New BSc Eng.'!A75</f>
        <v>210486F</v>
      </c>
      <c r="B77" s="67" t="str">
        <f>'EN4554_Intake 2021_New BSc Eng.'!B75</f>
        <v>PRABHASHANA M.R.M.</v>
      </c>
      <c r="C77" s="64">
        <v>7</v>
      </c>
      <c r="D77" s="62">
        <v>10</v>
      </c>
      <c r="E77" s="62">
        <v>6</v>
      </c>
      <c r="F77" s="69">
        <v>7</v>
      </c>
      <c r="G77" s="62">
        <v>12.5</v>
      </c>
      <c r="H77" s="62"/>
      <c r="I77" s="62"/>
      <c r="J77" s="62"/>
      <c r="K77" s="62"/>
      <c r="L77" s="62">
        <f t="shared" si="2"/>
        <v>42.5</v>
      </c>
      <c r="M77" s="63">
        <f>VLOOKUP($A77, Moodle!$D$2:$V$102, 19, FALSE)</f>
        <v>48.19</v>
      </c>
    </row>
    <row r="78" spans="1:13" ht="19.5" customHeight="1" x14ac:dyDescent="0.3">
      <c r="A78" s="67" t="str">
        <f>'EN4554_Intake 2021_New BSc Eng.'!A76</f>
        <v>210490L</v>
      </c>
      <c r="B78" s="67" t="str">
        <f>'EN4554_Intake 2021_New BSc Eng.'!B76</f>
        <v>PRABODHA K.P.K.A.</v>
      </c>
      <c r="C78" s="64">
        <v>18</v>
      </c>
      <c r="D78" s="62">
        <v>14</v>
      </c>
      <c r="E78" s="62">
        <v>5</v>
      </c>
      <c r="F78" s="69">
        <v>5</v>
      </c>
      <c r="G78" s="62">
        <v>12.5</v>
      </c>
      <c r="H78" s="62"/>
      <c r="I78" s="62"/>
      <c r="J78" s="62"/>
      <c r="K78" s="62"/>
      <c r="L78" s="62">
        <f t="shared" si="2"/>
        <v>54.5</v>
      </c>
      <c r="M78" s="63">
        <f>VLOOKUP($A78, Moodle!$D$2:$V$102, 19, FALSE)</f>
        <v>55.04</v>
      </c>
    </row>
    <row r="79" spans="1:13" ht="19.5" customHeight="1" x14ac:dyDescent="0.3">
      <c r="A79" s="67" t="str">
        <f>'EN4554_Intake 2021_New BSc Eng.'!A77</f>
        <v>210498T</v>
      </c>
      <c r="B79" s="67" t="str">
        <f>'EN4554_Intake 2021_New BSc Eng.'!B77</f>
        <v>PRIYANKAN V.</v>
      </c>
      <c r="C79" s="64">
        <v>12.5</v>
      </c>
      <c r="D79" s="62">
        <v>14</v>
      </c>
      <c r="E79" s="62">
        <v>6</v>
      </c>
      <c r="F79" s="69">
        <v>5</v>
      </c>
      <c r="G79" s="62">
        <v>12.5</v>
      </c>
      <c r="H79" s="62"/>
      <c r="I79" s="62"/>
      <c r="J79" s="62"/>
      <c r="K79" s="62"/>
      <c r="L79" s="62">
        <f t="shared" si="2"/>
        <v>50</v>
      </c>
      <c r="M79" s="63">
        <f>VLOOKUP($A79, Moodle!$D$2:$V$102, 19, FALSE)</f>
        <v>46.38</v>
      </c>
    </row>
    <row r="80" spans="1:13" ht="19.5" customHeight="1" x14ac:dyDescent="0.3">
      <c r="A80" s="67" t="str">
        <f>'EN4554_Intake 2021_New BSc Eng.'!A78</f>
        <v>210503H</v>
      </c>
      <c r="B80" s="67" t="str">
        <f>'EN4554_Intake 2021_New BSc Eng.'!B78</f>
        <v>RAJAPAKSHA I.P.D.D.</v>
      </c>
      <c r="C80" s="64">
        <v>12</v>
      </c>
      <c r="D80" s="62">
        <v>12</v>
      </c>
      <c r="E80" s="62">
        <v>8</v>
      </c>
      <c r="F80" s="69">
        <v>8</v>
      </c>
      <c r="G80" s="62">
        <v>12.5</v>
      </c>
      <c r="H80" s="62"/>
      <c r="I80" s="62"/>
      <c r="J80" s="62"/>
      <c r="K80" s="62"/>
      <c r="L80" s="62">
        <f t="shared" ref="L80:L89" si="3">SUM(C80:K80)</f>
        <v>52.5</v>
      </c>
      <c r="M80" s="63">
        <f>VLOOKUP($A80, Moodle!$D$2:$V$102, 19, FALSE)</f>
        <v>50.33</v>
      </c>
    </row>
    <row r="81" spans="1:13" ht="19.5" customHeight="1" x14ac:dyDescent="0.3">
      <c r="A81" s="67" t="str">
        <f>'EN4554_Intake 2021_New BSc Eng.'!A79</f>
        <v>210504L</v>
      </c>
      <c r="B81" s="67" t="str">
        <f>'EN4554_Intake 2021_New BSc Eng.'!B79</f>
        <v>RAJAPAKSHA N.N.</v>
      </c>
      <c r="C81" s="64">
        <v>20</v>
      </c>
      <c r="D81" s="62">
        <v>17</v>
      </c>
      <c r="E81" s="62">
        <v>17</v>
      </c>
      <c r="F81" s="69">
        <v>15</v>
      </c>
      <c r="G81" s="62">
        <v>12.5</v>
      </c>
      <c r="H81" s="62"/>
      <c r="I81" s="62"/>
      <c r="J81" s="62"/>
      <c r="K81" s="62"/>
      <c r="L81" s="62">
        <f t="shared" si="3"/>
        <v>81.5</v>
      </c>
      <c r="M81" s="63">
        <f>VLOOKUP($A81, Moodle!$D$2:$V$102, 19, FALSE)</f>
        <v>53.38</v>
      </c>
    </row>
    <row r="82" spans="1:13" ht="19.5" customHeight="1" x14ac:dyDescent="0.3">
      <c r="A82" s="67" t="str">
        <f>'EN4554_Intake 2021_New BSc Eng.'!A80</f>
        <v>210512J</v>
      </c>
      <c r="B82" s="67" t="str">
        <f>'EN4554_Intake 2021_New BSc Eng.'!B80</f>
        <v>RAMANAYAKE R.P.G.K.</v>
      </c>
      <c r="C82" s="64">
        <v>15</v>
      </c>
      <c r="D82" s="62">
        <v>14</v>
      </c>
      <c r="E82" s="62">
        <v>8</v>
      </c>
      <c r="F82" s="69">
        <v>2</v>
      </c>
      <c r="G82" s="62">
        <v>12.5</v>
      </c>
      <c r="H82" s="62"/>
      <c r="I82" s="62"/>
      <c r="J82" s="62"/>
      <c r="K82" s="62"/>
      <c r="L82" s="62">
        <f t="shared" si="3"/>
        <v>51.5</v>
      </c>
      <c r="M82" s="63">
        <f>VLOOKUP($A82, Moodle!$D$2:$V$102, 19, FALSE)</f>
        <v>49.31</v>
      </c>
    </row>
    <row r="83" spans="1:13" ht="19.5" customHeight="1" x14ac:dyDescent="0.3">
      <c r="A83" s="67" t="str">
        <f>'EN4554_Intake 2021_New BSc Eng.'!A81</f>
        <v>210533A</v>
      </c>
      <c r="B83" s="67" t="str">
        <f>'EN4554_Intake 2021_New BSc Eng.'!B81</f>
        <v>RATHNAMALALA T.N.S.</v>
      </c>
      <c r="C83" s="64">
        <v>9</v>
      </c>
      <c r="D83" s="62">
        <v>4</v>
      </c>
      <c r="E83" s="62">
        <v>9</v>
      </c>
      <c r="F83" s="69">
        <v>4</v>
      </c>
      <c r="G83" s="62">
        <v>12.5</v>
      </c>
      <c r="H83" s="62"/>
      <c r="I83" s="62"/>
      <c r="J83" s="62"/>
      <c r="K83" s="62"/>
      <c r="L83" s="62">
        <f t="shared" si="3"/>
        <v>38.5</v>
      </c>
      <c r="M83" s="63">
        <f>VLOOKUP($A83, Moodle!$D$2:$V$102, 19, FALSE)</f>
        <v>43.54</v>
      </c>
    </row>
    <row r="84" spans="1:13" ht="19.5" customHeight="1" x14ac:dyDescent="0.3">
      <c r="A84" s="67" t="str">
        <f>'EN4554_Intake 2021_New BSc Eng.'!A82</f>
        <v>210542B</v>
      </c>
      <c r="B84" s="67" t="str">
        <f>'EN4554_Intake 2021_New BSc Eng.'!B82</f>
        <v>RATNAYAKE R.M.L.H.</v>
      </c>
      <c r="C84" s="64">
        <v>20.5</v>
      </c>
      <c r="D84" s="62">
        <v>18</v>
      </c>
      <c r="E84" s="62">
        <v>13</v>
      </c>
      <c r="F84" s="69">
        <v>9</v>
      </c>
      <c r="G84" s="62">
        <v>12.5</v>
      </c>
      <c r="H84" s="62"/>
      <c r="I84" s="62"/>
      <c r="J84" s="62"/>
      <c r="K84" s="62"/>
      <c r="L84" s="62">
        <f t="shared" si="3"/>
        <v>73</v>
      </c>
      <c r="M84" s="63">
        <f>VLOOKUP($A84, Moodle!$D$2:$V$102, 19, FALSE)</f>
        <v>55.62</v>
      </c>
    </row>
    <row r="85" spans="1:13" ht="19.5" customHeight="1" x14ac:dyDescent="0.3">
      <c r="A85" s="67" t="str">
        <f>'EN4554_Intake 2021_New BSc Eng.'!A83</f>
        <v>210557B</v>
      </c>
      <c r="B85" s="67" t="str">
        <f>'EN4554_Intake 2021_New BSc Eng.'!B83</f>
        <v>SAMARANAYAKE G.D.C.</v>
      </c>
      <c r="C85" s="64">
        <v>13.5</v>
      </c>
      <c r="D85" s="62">
        <v>18</v>
      </c>
      <c r="E85" s="62">
        <v>10</v>
      </c>
      <c r="F85" s="69">
        <v>13</v>
      </c>
      <c r="G85" s="62">
        <v>12.5</v>
      </c>
      <c r="H85" s="62"/>
      <c r="I85" s="62"/>
      <c r="J85" s="62"/>
      <c r="K85" s="62"/>
      <c r="L85" s="62">
        <f t="shared" si="3"/>
        <v>67</v>
      </c>
      <c r="M85" s="63">
        <f>VLOOKUP($A85, Moodle!$D$2:$V$102, 19, FALSE)</f>
        <v>48.39</v>
      </c>
    </row>
    <row r="86" spans="1:13" ht="19.5" customHeight="1" x14ac:dyDescent="0.3">
      <c r="A86" s="67" t="str">
        <f>'EN4554_Intake 2021_New BSc Eng.'!A84</f>
        <v>210559H</v>
      </c>
      <c r="B86" s="67" t="str">
        <f>'EN4554_Intake 2021_New BSc Eng.'!B84</f>
        <v>SAMARANAYAKE M.A.S.</v>
      </c>
      <c r="C86" s="64">
        <v>9</v>
      </c>
      <c r="D86" s="62">
        <v>14</v>
      </c>
      <c r="E86" s="62">
        <v>7</v>
      </c>
      <c r="F86" s="69">
        <v>11</v>
      </c>
      <c r="G86" s="62">
        <v>12.5</v>
      </c>
      <c r="H86" s="62"/>
      <c r="I86" s="62"/>
      <c r="J86" s="62"/>
      <c r="K86" s="62"/>
      <c r="L86" s="62">
        <f t="shared" si="3"/>
        <v>53.5</v>
      </c>
      <c r="M86" s="63">
        <f>VLOOKUP($A86, Moodle!$D$2:$V$102, 19, FALSE)</f>
        <v>48.23</v>
      </c>
    </row>
    <row r="87" spans="1:13" ht="19.5" customHeight="1" x14ac:dyDescent="0.3">
      <c r="A87" s="67" t="str">
        <f>'EN4554_Intake 2021_New BSc Eng.'!A85</f>
        <v>210583B</v>
      </c>
      <c r="B87" s="67" t="str">
        <f>'EN4554_Intake 2021_New BSc Eng.'!B85</f>
        <v>SEHARA G.M.M.</v>
      </c>
      <c r="C87" s="64">
        <v>18.5</v>
      </c>
      <c r="D87" s="62">
        <v>17</v>
      </c>
      <c r="E87" s="62">
        <v>14</v>
      </c>
      <c r="F87" s="69">
        <v>11</v>
      </c>
      <c r="G87" s="62">
        <v>12.5</v>
      </c>
      <c r="H87" s="62"/>
      <c r="I87" s="62"/>
      <c r="J87" s="62"/>
      <c r="K87" s="62"/>
      <c r="L87" s="62">
        <f t="shared" si="3"/>
        <v>73</v>
      </c>
      <c r="M87" s="63">
        <f>VLOOKUP($A87, Moodle!$D$2:$V$102, 19, FALSE)</f>
        <v>53.75</v>
      </c>
    </row>
    <row r="88" spans="1:13" ht="19.5" customHeight="1" x14ac:dyDescent="0.3">
      <c r="A88" s="67" t="str">
        <f>'EN4554_Intake 2021_New BSc Eng.'!A86</f>
        <v>210594J</v>
      </c>
      <c r="B88" s="67" t="str">
        <f>'EN4554_Intake 2021_New BSc Eng.'!B86</f>
        <v>SENAVIRATHNE I.U.B.</v>
      </c>
      <c r="C88" s="64">
        <v>15</v>
      </c>
      <c r="D88" s="62">
        <v>19</v>
      </c>
      <c r="E88" s="62">
        <v>12</v>
      </c>
      <c r="F88" s="69">
        <v>17</v>
      </c>
      <c r="G88" s="62">
        <v>12.5</v>
      </c>
      <c r="H88" s="62"/>
      <c r="I88" s="62"/>
      <c r="J88" s="62"/>
      <c r="K88" s="62"/>
      <c r="L88" s="62">
        <f t="shared" si="3"/>
        <v>75.5</v>
      </c>
      <c r="M88" s="63">
        <f>VLOOKUP($A88, Moodle!$D$2:$V$102, 19, FALSE)</f>
        <v>53.67</v>
      </c>
    </row>
    <row r="89" spans="1:13" ht="19.5" customHeight="1" x14ac:dyDescent="0.3">
      <c r="A89" s="67" t="str">
        <f>'EN4554_Intake 2021_New BSc Eng.'!A87</f>
        <v>210599E</v>
      </c>
      <c r="B89" s="67" t="str">
        <f>'EN4554_Intake 2021_New BSc Eng.'!B87</f>
        <v>SHAMAL G.B.A.</v>
      </c>
      <c r="C89" s="64">
        <v>14</v>
      </c>
      <c r="D89" s="62">
        <v>15</v>
      </c>
      <c r="E89" s="62">
        <v>7</v>
      </c>
      <c r="F89" s="69">
        <v>8</v>
      </c>
      <c r="G89" s="62">
        <v>12.5</v>
      </c>
      <c r="H89" s="62"/>
      <c r="I89" s="62"/>
      <c r="J89" s="62"/>
      <c r="K89" s="62"/>
      <c r="L89" s="62">
        <f t="shared" si="3"/>
        <v>56.5</v>
      </c>
      <c r="M89" s="63">
        <f>VLOOKUP($A89, Moodle!$D$2:$V$102, 19, FALSE)</f>
        <v>48.42</v>
      </c>
    </row>
    <row r="90" spans="1:13" ht="19.5" customHeight="1" x14ac:dyDescent="0.3">
      <c r="A90" s="67" t="str">
        <f>'EN4554_Intake 2021_New BSc Eng.'!A88</f>
        <v>210605X</v>
      </c>
      <c r="B90" s="67" t="str">
        <f>'EN4554_Intake 2021_New BSc Eng.'!B88</f>
        <v>SHEHAN M.K.J.</v>
      </c>
      <c r="C90" s="64">
        <v>9</v>
      </c>
      <c r="D90" s="62">
        <v>17</v>
      </c>
      <c r="E90" s="62">
        <v>9</v>
      </c>
      <c r="F90" s="69">
        <v>9</v>
      </c>
      <c r="G90" s="62">
        <v>12.5</v>
      </c>
      <c r="H90" s="62"/>
      <c r="I90" s="62"/>
      <c r="J90" s="62"/>
      <c r="K90" s="62"/>
      <c r="L90" s="62">
        <f t="shared" ref="L90:L104" si="4">SUM(C90:K90)</f>
        <v>56.5</v>
      </c>
      <c r="M90" s="63">
        <f>VLOOKUP($A90, Moodle!$D$2:$V$102, 19, FALSE)</f>
        <v>45.25</v>
      </c>
    </row>
    <row r="91" spans="1:13" ht="19.5" customHeight="1" x14ac:dyDescent="0.3">
      <c r="A91" s="67" t="str">
        <f>'EN4554_Intake 2021_New BSc Eng.'!A89</f>
        <v>210608J</v>
      </c>
      <c r="B91" s="67" t="str">
        <f>'EN4554_Intake 2021_New BSc Eng.'!B89</f>
        <v>SILVA L.J.J.P.</v>
      </c>
      <c r="C91" s="64">
        <v>19.5</v>
      </c>
      <c r="D91" s="62">
        <v>17</v>
      </c>
      <c r="E91" s="62">
        <v>12</v>
      </c>
      <c r="F91" s="69">
        <v>14</v>
      </c>
      <c r="G91" s="62">
        <v>12.5</v>
      </c>
      <c r="H91" s="62"/>
      <c r="I91" s="62"/>
      <c r="J91" s="62"/>
      <c r="K91" s="62"/>
      <c r="L91" s="62">
        <f t="shared" si="4"/>
        <v>75</v>
      </c>
      <c r="M91" s="63">
        <f>VLOOKUP($A91, Moodle!$D$2:$V$102, 19, FALSE)</f>
        <v>55.79</v>
      </c>
    </row>
    <row r="92" spans="1:13" ht="19.5" customHeight="1" x14ac:dyDescent="0.3">
      <c r="A92" s="67" t="str">
        <f>'EN4554_Intake 2021_New BSc Eng.'!A90</f>
        <v>210610H</v>
      </c>
      <c r="B92" s="67" t="str">
        <f>'EN4554_Intake 2021_New BSc Eng.'!B90</f>
        <v>SIRIMANNA N.T.W.</v>
      </c>
      <c r="C92" s="64">
        <v>18</v>
      </c>
      <c r="D92" s="62">
        <v>20</v>
      </c>
      <c r="E92" s="62">
        <v>7</v>
      </c>
      <c r="F92" s="69">
        <v>11</v>
      </c>
      <c r="G92" s="62">
        <v>12.5</v>
      </c>
      <c r="H92" s="62"/>
      <c r="I92" s="62"/>
      <c r="J92" s="62"/>
      <c r="K92" s="62"/>
      <c r="L92" s="62">
        <f t="shared" si="4"/>
        <v>68.5</v>
      </c>
      <c r="M92" s="63">
        <f>VLOOKUP($A92, Moodle!$D$2:$V$102, 19, FALSE)</f>
        <v>50.46</v>
      </c>
    </row>
    <row r="93" spans="1:13" ht="19.5" customHeight="1" x14ac:dyDescent="0.3">
      <c r="A93" s="67" t="str">
        <f>'EN4554_Intake 2021_New BSc Eng.'!A91</f>
        <v>210612P</v>
      </c>
      <c r="B93" s="67" t="str">
        <f>'EN4554_Intake 2021_New BSc Eng.'!B91</f>
        <v>SIRIWARDANE C.</v>
      </c>
      <c r="C93" s="64">
        <v>15.5</v>
      </c>
      <c r="D93" s="62">
        <v>19</v>
      </c>
      <c r="E93" s="62">
        <v>5</v>
      </c>
      <c r="F93" s="69">
        <v>10</v>
      </c>
      <c r="G93" s="62">
        <v>12.5</v>
      </c>
      <c r="H93" s="62"/>
      <c r="I93" s="62"/>
      <c r="J93" s="62"/>
      <c r="K93" s="62"/>
      <c r="L93" s="62">
        <f t="shared" si="4"/>
        <v>62</v>
      </c>
      <c r="M93" s="63">
        <f>VLOOKUP($A93, Moodle!$D$2:$V$102, 19, FALSE)</f>
        <v>46.29</v>
      </c>
    </row>
    <row r="94" spans="1:13" ht="19.5" customHeight="1" x14ac:dyDescent="0.3">
      <c r="A94" s="67" t="str">
        <f>'EN4554_Intake 2021_New BSc Eng.'!A92</f>
        <v>210624E</v>
      </c>
      <c r="B94" s="67" t="str">
        <f>'EN4554_Intake 2021_New BSc Eng.'!B92</f>
        <v>SUNDARBAVAN T.</v>
      </c>
      <c r="C94" s="64">
        <v>17</v>
      </c>
      <c r="D94" s="62">
        <v>20</v>
      </c>
      <c r="E94" s="62">
        <v>10</v>
      </c>
      <c r="F94" s="69">
        <v>7</v>
      </c>
      <c r="G94" s="62">
        <v>12.5</v>
      </c>
      <c r="H94" s="62"/>
      <c r="I94" s="62"/>
      <c r="J94" s="62"/>
      <c r="K94" s="62"/>
      <c r="L94" s="62">
        <f t="shared" si="4"/>
        <v>66.5</v>
      </c>
      <c r="M94" s="63">
        <f>VLOOKUP($A94, Moodle!$D$2:$V$102, 19, FALSE)</f>
        <v>50.58</v>
      </c>
    </row>
    <row r="95" spans="1:13" ht="19.5" customHeight="1" x14ac:dyDescent="0.3">
      <c r="A95" s="67" t="str">
        <f>'EN4554_Intake 2021_New BSc Eng.'!A93</f>
        <v>210625H</v>
      </c>
      <c r="B95" s="67" t="str">
        <f>'EN4554_Intake 2021_New BSc Eng.'!B93</f>
        <v>SURENDRA S.A.J.E.</v>
      </c>
      <c r="C95" s="64">
        <v>16.5</v>
      </c>
      <c r="D95" s="62">
        <v>19</v>
      </c>
      <c r="E95" s="62">
        <v>16</v>
      </c>
      <c r="F95" s="69">
        <v>15</v>
      </c>
      <c r="G95" s="62">
        <v>12.5</v>
      </c>
      <c r="H95" s="62"/>
      <c r="I95" s="62"/>
      <c r="J95" s="62"/>
      <c r="K95" s="62"/>
      <c r="L95" s="62">
        <f t="shared" si="4"/>
        <v>79</v>
      </c>
      <c r="M95" s="63">
        <f>VLOOKUP($A95, Moodle!$D$2:$V$102, 19, FALSE)</f>
        <v>57.5</v>
      </c>
    </row>
    <row r="96" spans="1:13" ht="19.5" customHeight="1" x14ac:dyDescent="0.3">
      <c r="A96" s="67" t="str">
        <f>'EN4554_Intake 2021_New BSc Eng.'!A94</f>
        <v>210629A</v>
      </c>
      <c r="B96" s="67" t="str">
        <f>'EN4554_Intake 2021_New BSc Eng.'!B94</f>
        <v>THAMIRAWARAN S.</v>
      </c>
      <c r="C96" s="64">
        <v>6.5</v>
      </c>
      <c r="D96" s="62">
        <v>12</v>
      </c>
      <c r="E96" s="62">
        <v>6</v>
      </c>
      <c r="F96" s="69">
        <v>7</v>
      </c>
      <c r="G96" s="62">
        <v>12.5</v>
      </c>
      <c r="H96" s="62"/>
      <c r="I96" s="62"/>
      <c r="J96" s="62"/>
      <c r="K96" s="62"/>
      <c r="L96" s="62">
        <f t="shared" si="4"/>
        <v>44</v>
      </c>
      <c r="M96" s="63">
        <f>VLOOKUP($A96, Moodle!$D$2:$V$102, 19, FALSE)</f>
        <v>45.67</v>
      </c>
    </row>
    <row r="97" spans="1:13" ht="19.5" customHeight="1" x14ac:dyDescent="0.3">
      <c r="A97" s="67" t="str">
        <f>'EN4554_Intake 2021_New BSc Eng.'!A95</f>
        <v>210642G</v>
      </c>
      <c r="B97" s="67" t="str">
        <f>'EN4554_Intake 2021_New BSc Eng.'!B95</f>
        <v>THENNAKOON T.M.K.R.</v>
      </c>
      <c r="C97" s="64">
        <v>17</v>
      </c>
      <c r="D97" s="62">
        <v>15</v>
      </c>
      <c r="E97" s="62">
        <v>11</v>
      </c>
      <c r="F97" s="69">
        <v>4</v>
      </c>
      <c r="G97" s="62">
        <v>12.5</v>
      </c>
      <c r="H97" s="62"/>
      <c r="I97" s="62"/>
      <c r="J97" s="62"/>
      <c r="K97" s="62"/>
      <c r="L97" s="62">
        <f t="shared" si="4"/>
        <v>59.5</v>
      </c>
      <c r="M97" s="63">
        <f>VLOOKUP($A97, Moodle!$D$2:$V$102, 19, FALSE)</f>
        <v>50.13</v>
      </c>
    </row>
    <row r="98" spans="1:13" ht="19.5" customHeight="1" x14ac:dyDescent="0.3">
      <c r="A98" s="67" t="str">
        <f>'EN4554_Intake 2021_New BSc Eng.'!A96</f>
        <v>210668P</v>
      </c>
      <c r="B98" s="67" t="str">
        <f>'EN4554_Intake 2021_New BSc Eng.'!B96</f>
        <v>VIDMAL H.V.P.</v>
      </c>
      <c r="C98" s="64">
        <v>13</v>
      </c>
      <c r="D98" s="62">
        <v>18</v>
      </c>
      <c r="E98" s="62">
        <v>9</v>
      </c>
      <c r="F98" s="69">
        <v>16</v>
      </c>
      <c r="G98" s="62">
        <v>12.5</v>
      </c>
      <c r="H98" s="62"/>
      <c r="I98" s="62"/>
      <c r="J98" s="62"/>
      <c r="K98" s="62"/>
      <c r="L98" s="62">
        <f t="shared" si="4"/>
        <v>68.5</v>
      </c>
      <c r="M98" s="63">
        <f>VLOOKUP($A98, Moodle!$D$2:$V$102, 19, FALSE)</f>
        <v>53.75</v>
      </c>
    </row>
    <row r="99" spans="1:13" ht="19.5" customHeight="1" x14ac:dyDescent="0.3">
      <c r="A99" s="67" t="str">
        <f>'EN4554_Intake 2021_New BSc Eng.'!A97</f>
        <v>210679B</v>
      </c>
      <c r="B99" s="67" t="str">
        <f>'EN4554_Intake 2021_New BSc Eng.'!B97</f>
        <v>WANNIARACHCHI W.A.D.N.M.</v>
      </c>
      <c r="C99" s="64">
        <v>13.5</v>
      </c>
      <c r="D99" s="62">
        <v>9</v>
      </c>
      <c r="E99" s="62">
        <v>4</v>
      </c>
      <c r="F99" s="69">
        <v>14</v>
      </c>
      <c r="G99" s="62">
        <v>12.5</v>
      </c>
      <c r="H99" s="62">
        <v>0.1</v>
      </c>
      <c r="I99" s="62"/>
      <c r="J99" s="62"/>
      <c r="K99" s="62"/>
      <c r="L99" s="62">
        <f t="shared" si="4"/>
        <v>53.1</v>
      </c>
      <c r="M99" s="63">
        <f>VLOOKUP($A99, Moodle!$D$2:$V$102, 19, FALSE)</f>
        <v>53.29</v>
      </c>
    </row>
    <row r="100" spans="1:13" ht="19.5" customHeight="1" x14ac:dyDescent="0.3">
      <c r="A100" s="67" t="str">
        <f>'EN4554_Intake 2021_New BSc Eng.'!A98</f>
        <v>210699K</v>
      </c>
      <c r="B100" s="67" t="str">
        <f>'EN4554_Intake 2021_New BSc Eng.'!B98</f>
        <v>WICKRAMAARACHCHI W.C.A.</v>
      </c>
      <c r="C100" s="64">
        <v>15.5</v>
      </c>
      <c r="D100" s="62">
        <v>6</v>
      </c>
      <c r="E100" s="62">
        <v>6</v>
      </c>
      <c r="F100" s="69">
        <v>8</v>
      </c>
      <c r="G100" s="62">
        <v>12.5</v>
      </c>
      <c r="H100" s="62"/>
      <c r="I100" s="62"/>
      <c r="J100" s="62"/>
      <c r="K100" s="62"/>
      <c r="L100" s="62">
        <f t="shared" si="4"/>
        <v>48</v>
      </c>
      <c r="M100" s="63">
        <f>VLOOKUP($A100, Moodle!$D$2:$V$102, 19, FALSE)</f>
        <v>47.13</v>
      </c>
    </row>
    <row r="101" spans="1:13" ht="19.5" customHeight="1" x14ac:dyDescent="0.3">
      <c r="A101" s="67" t="str">
        <f>'EN4554_Intake 2021_New BSc Eng.'!A99</f>
        <v>210703V</v>
      </c>
      <c r="B101" s="67" t="str">
        <f>'EN4554_Intake 2021_New BSc Eng.'!B99</f>
        <v>WICKRAMARATHNE M.P.</v>
      </c>
      <c r="C101" s="64">
        <v>15.5</v>
      </c>
      <c r="D101" s="62">
        <v>17</v>
      </c>
      <c r="E101" s="62">
        <v>6</v>
      </c>
      <c r="F101" s="69">
        <v>12</v>
      </c>
      <c r="G101" s="62">
        <v>12.5</v>
      </c>
      <c r="H101" s="62"/>
      <c r="I101" s="62"/>
      <c r="J101" s="62"/>
      <c r="K101" s="62"/>
      <c r="L101" s="62">
        <f t="shared" si="4"/>
        <v>63</v>
      </c>
      <c r="M101" s="63">
        <f>VLOOKUP($A101, Moodle!$D$2:$V$102, 19, FALSE)</f>
        <v>55.29</v>
      </c>
    </row>
    <row r="102" spans="1:13" ht="19.5" customHeight="1" x14ac:dyDescent="0.3">
      <c r="A102" s="67" t="str">
        <f>'EN4554_Intake 2021_New BSc Eng.'!A100</f>
        <v>210705E</v>
      </c>
      <c r="B102" s="67" t="str">
        <f>'EN4554_Intake 2021_New BSc Eng.'!B100</f>
        <v>WICKRAMASINGHA M.P.D.N.</v>
      </c>
      <c r="C102" s="64">
        <v>12.5</v>
      </c>
      <c r="D102" s="62">
        <v>15</v>
      </c>
      <c r="E102" s="62">
        <v>11</v>
      </c>
      <c r="F102" s="69">
        <v>3</v>
      </c>
      <c r="G102" s="62">
        <v>12.5</v>
      </c>
      <c r="H102" s="62"/>
      <c r="I102" s="62"/>
      <c r="J102" s="62"/>
      <c r="K102" s="62"/>
      <c r="L102" s="62">
        <f t="shared" si="4"/>
        <v>54</v>
      </c>
      <c r="M102" s="63">
        <f>VLOOKUP($A102, Moodle!$D$2:$V$102, 19, FALSE)</f>
        <v>50.83</v>
      </c>
    </row>
    <row r="103" spans="1:13" ht="19.5" customHeight="1" x14ac:dyDescent="0.3">
      <c r="A103" s="67" t="str">
        <f>'EN4554_Intake 2021_New BSc Eng.'!A101</f>
        <v>210720U</v>
      </c>
      <c r="B103" s="67" t="str">
        <f>'EN4554_Intake 2021_New BSc Eng.'!B101</f>
        <v>WIJESINGHE C.D.</v>
      </c>
      <c r="C103" s="64">
        <v>17.5</v>
      </c>
      <c r="D103" s="62">
        <v>21</v>
      </c>
      <c r="E103" s="62">
        <v>15</v>
      </c>
      <c r="F103" s="69">
        <v>16</v>
      </c>
      <c r="G103" s="62">
        <v>12.5</v>
      </c>
      <c r="H103" s="62"/>
      <c r="I103" s="62"/>
      <c r="J103" s="62"/>
      <c r="K103" s="62"/>
      <c r="L103" s="62">
        <f t="shared" si="4"/>
        <v>82</v>
      </c>
      <c r="M103" s="63">
        <f>VLOOKUP($A103, Moodle!$D$2:$V$102, 19, FALSE)</f>
        <v>53.83</v>
      </c>
    </row>
    <row r="104" spans="1:13" ht="19.5" customHeight="1" x14ac:dyDescent="0.3">
      <c r="A104" s="67" t="str">
        <f>'EN4554_Intake 2021_New BSc Eng.'!A102</f>
        <v>210732H</v>
      </c>
      <c r="B104" s="67" t="str">
        <f>'EN4554_Intake 2021_New BSc Eng.'!B102</f>
        <v>WITHANAWASAM I.A.</v>
      </c>
      <c r="C104" s="64">
        <v>13.5</v>
      </c>
      <c r="D104" s="62">
        <v>16</v>
      </c>
      <c r="E104" s="62">
        <v>9</v>
      </c>
      <c r="F104" s="69">
        <v>8</v>
      </c>
      <c r="G104" s="62">
        <v>12.5</v>
      </c>
      <c r="H104" s="62"/>
      <c r="I104" s="62"/>
      <c r="J104" s="62"/>
      <c r="K104" s="62"/>
      <c r="L104" s="62">
        <f t="shared" si="4"/>
        <v>59</v>
      </c>
      <c r="M104" s="63">
        <f>VLOOKUP($A104, Moodle!$D$2:$V$102, 19, FALSE)</f>
        <v>53.63</v>
      </c>
    </row>
    <row r="105" spans="1:13" ht="19.5" customHeight="1" x14ac:dyDescent="0.3"/>
    <row r="106" spans="1:13" ht="19.5" customHeight="1" x14ac:dyDescent="0.3"/>
    <row r="107" spans="1:13" ht="19.5" customHeight="1" x14ac:dyDescent="0.3"/>
    <row r="108" spans="1:13" ht="19.5" customHeight="1" x14ac:dyDescent="0.3"/>
    <row r="109" spans="1:13" ht="19.5" customHeight="1" x14ac:dyDescent="0.3"/>
    <row r="110" spans="1:13" ht="19.5" customHeight="1" x14ac:dyDescent="0.3"/>
    <row r="111" spans="1:13" ht="19.5" customHeight="1" x14ac:dyDescent="0.3"/>
    <row r="112" spans="1:13" ht="19.5" customHeight="1" x14ac:dyDescent="0.3"/>
    <row r="113" ht="19.5" customHeight="1" x14ac:dyDescent="0.3"/>
    <row r="114" ht="19.5" customHeight="1" x14ac:dyDescent="0.3"/>
    <row r="115" ht="19.5" customHeight="1" x14ac:dyDescent="0.3"/>
    <row r="116" ht="19.5" customHeight="1" x14ac:dyDescent="0.3"/>
    <row r="117" ht="19.5" customHeight="1" x14ac:dyDescent="0.3"/>
    <row r="118" ht="19.5" customHeight="1" x14ac:dyDescent="0.3"/>
    <row r="119" ht="19.5" customHeight="1" x14ac:dyDescent="0.3"/>
    <row r="120" ht="19.5" customHeight="1" x14ac:dyDescent="0.3"/>
    <row r="121" ht="19.5" customHeight="1" x14ac:dyDescent="0.3"/>
    <row r="122" ht="19.5" customHeight="1" x14ac:dyDescent="0.3"/>
    <row r="123" ht="19.5" customHeight="1" x14ac:dyDescent="0.3"/>
    <row r="124" ht="19.5" customHeight="1" x14ac:dyDescent="0.3"/>
    <row r="125" ht="19.5" customHeight="1" x14ac:dyDescent="0.3"/>
    <row r="126" ht="19.5" customHeight="1" x14ac:dyDescent="0.3"/>
    <row r="127" ht="19.5" customHeight="1" x14ac:dyDescent="0.3"/>
    <row r="128" ht="19.5" customHeight="1" x14ac:dyDescent="0.3"/>
    <row r="129" ht="19.5" customHeight="1" x14ac:dyDescent="0.3"/>
    <row r="130" ht="19.5" customHeight="1" x14ac:dyDescent="0.3"/>
    <row r="131" ht="19.5" customHeight="1" x14ac:dyDescent="0.3"/>
    <row r="132" ht="19.5" customHeight="1" x14ac:dyDescent="0.3"/>
    <row r="133" ht="19.5" customHeight="1" x14ac:dyDescent="0.3"/>
    <row r="134" ht="19.5" customHeight="1" x14ac:dyDescent="0.3"/>
    <row r="135" ht="19.5" customHeight="1" x14ac:dyDescent="0.3"/>
    <row r="136" ht="19.5" customHeight="1" x14ac:dyDescent="0.3"/>
    <row r="137" ht="19.5" customHeight="1" x14ac:dyDescent="0.3"/>
    <row r="138" ht="19.5" customHeight="1" x14ac:dyDescent="0.3"/>
    <row r="139" ht="19.5" customHeight="1" x14ac:dyDescent="0.3"/>
    <row r="140" ht="19.5" customHeight="1" x14ac:dyDescent="0.3"/>
    <row r="141" ht="19.5" customHeight="1" x14ac:dyDescent="0.3"/>
    <row r="142" ht="19.5" customHeight="1" x14ac:dyDescent="0.3"/>
    <row r="143" ht="19.5" customHeight="1" x14ac:dyDescent="0.3"/>
    <row r="144" ht="19.5" customHeight="1" x14ac:dyDescent="0.3"/>
    <row r="145" ht="19.5" customHeight="1" x14ac:dyDescent="0.3"/>
    <row r="146" ht="19.5" customHeight="1" x14ac:dyDescent="0.3"/>
    <row r="147" ht="19.5" customHeight="1" x14ac:dyDescent="0.3"/>
    <row r="148" ht="19.5" customHeight="1" x14ac:dyDescent="0.3"/>
    <row r="149" ht="19.5" customHeight="1" x14ac:dyDescent="0.3"/>
    <row r="150" ht="19.5" customHeight="1" x14ac:dyDescent="0.3"/>
    <row r="151" ht="19.5" customHeight="1" x14ac:dyDescent="0.3"/>
    <row r="152" ht="19.5" customHeight="1" x14ac:dyDescent="0.3"/>
    <row r="153" ht="19.5" customHeight="1" x14ac:dyDescent="0.3"/>
    <row r="154" ht="19.5" customHeight="1" x14ac:dyDescent="0.3"/>
    <row r="155" ht="19.5" customHeight="1" x14ac:dyDescent="0.3"/>
    <row r="156" ht="19.5" customHeight="1" x14ac:dyDescent="0.3"/>
    <row r="157" ht="19.5" customHeight="1" x14ac:dyDescent="0.3"/>
    <row r="158" ht="19.5" customHeight="1" x14ac:dyDescent="0.3"/>
    <row r="159" ht="19.5" customHeight="1" x14ac:dyDescent="0.3"/>
    <row r="160" ht="19.5" customHeight="1" x14ac:dyDescent="0.3"/>
    <row r="161" ht="19.5" customHeight="1" x14ac:dyDescent="0.3"/>
    <row r="162" ht="19.5" customHeight="1" x14ac:dyDescent="0.3"/>
    <row r="163" ht="19.5" customHeight="1" x14ac:dyDescent="0.3"/>
    <row r="164" ht="19.5" customHeight="1" x14ac:dyDescent="0.3"/>
    <row r="165" ht="19.5" customHeight="1" x14ac:dyDescent="0.3"/>
    <row r="166" ht="19.5" customHeight="1" x14ac:dyDescent="0.3"/>
    <row r="167" ht="19.5" customHeight="1" x14ac:dyDescent="0.3"/>
    <row r="168" ht="19.5" customHeight="1" x14ac:dyDescent="0.3"/>
    <row r="169" ht="19.5" customHeight="1" x14ac:dyDescent="0.3"/>
    <row r="170" ht="19.5" customHeight="1" x14ac:dyDescent="0.3"/>
    <row r="171" ht="19.5" customHeight="1" x14ac:dyDescent="0.3"/>
    <row r="172" ht="19.5" customHeight="1" x14ac:dyDescent="0.3"/>
    <row r="173" ht="19.5" customHeight="1" x14ac:dyDescent="0.3"/>
    <row r="174" ht="19.5" customHeight="1" x14ac:dyDescent="0.3"/>
    <row r="175" ht="19.5" customHeight="1" x14ac:dyDescent="0.3"/>
    <row r="176" ht="19.5" customHeight="1" x14ac:dyDescent="0.3"/>
    <row r="177" ht="19.5" customHeight="1" x14ac:dyDescent="0.3"/>
    <row r="178" ht="19.5" customHeight="1" x14ac:dyDescent="0.3"/>
    <row r="179" ht="19.5" customHeight="1" x14ac:dyDescent="0.3"/>
    <row r="180" ht="19.5" customHeight="1" x14ac:dyDescent="0.3"/>
    <row r="181" ht="19.5" customHeight="1" x14ac:dyDescent="0.3"/>
    <row r="182" ht="19.5" customHeight="1" x14ac:dyDescent="0.3"/>
    <row r="183" ht="19.5" customHeight="1" x14ac:dyDescent="0.3"/>
    <row r="184" ht="19.5" customHeight="1" x14ac:dyDescent="0.3"/>
    <row r="185" ht="19.5" customHeight="1" x14ac:dyDescent="0.3"/>
    <row r="186" ht="19.5" customHeight="1" x14ac:dyDescent="0.3"/>
    <row r="187" ht="19.5" customHeight="1" x14ac:dyDescent="0.3"/>
    <row r="188" ht="19.5" customHeight="1" x14ac:dyDescent="0.3"/>
    <row r="189" ht="19.5" customHeight="1" x14ac:dyDescent="0.3"/>
    <row r="190" ht="19.5" customHeight="1" x14ac:dyDescent="0.3"/>
    <row r="191" ht="19.5" customHeight="1" x14ac:dyDescent="0.3"/>
    <row r="192" ht="19.5" customHeight="1" x14ac:dyDescent="0.3"/>
    <row r="193" ht="19.5" customHeight="1" x14ac:dyDescent="0.3"/>
    <row r="194" ht="19.5" customHeight="1" x14ac:dyDescent="0.3"/>
    <row r="195" ht="19.5" customHeight="1" x14ac:dyDescent="0.3"/>
    <row r="196" ht="19.5" customHeight="1" x14ac:dyDescent="0.3"/>
    <row r="197" ht="19.5" customHeight="1" x14ac:dyDescent="0.3"/>
    <row r="198" ht="19.5" customHeight="1" x14ac:dyDescent="0.3"/>
    <row r="199" ht="19.5" customHeight="1" x14ac:dyDescent="0.3"/>
    <row r="200" ht="19.5" customHeight="1" x14ac:dyDescent="0.3"/>
    <row r="201" ht="19.5" customHeight="1" x14ac:dyDescent="0.3"/>
    <row r="202" ht="19.5" customHeight="1" x14ac:dyDescent="0.3"/>
    <row r="203" ht="19.5" customHeight="1" x14ac:dyDescent="0.3"/>
    <row r="204" ht="19.5" customHeight="1" x14ac:dyDescent="0.3"/>
    <row r="205" ht="19.5" customHeight="1" x14ac:dyDescent="0.3"/>
    <row r="206" ht="19.5" customHeight="1" x14ac:dyDescent="0.3"/>
    <row r="207" ht="19.5" customHeight="1" x14ac:dyDescent="0.3"/>
    <row r="208" ht="19.5" customHeight="1" x14ac:dyDescent="0.3"/>
    <row r="209" ht="19.5" customHeight="1" x14ac:dyDescent="0.3"/>
    <row r="210" ht="19.5" customHeight="1" x14ac:dyDescent="0.3"/>
    <row r="211" ht="19.5" customHeight="1" x14ac:dyDescent="0.3"/>
    <row r="212" ht="19.5" customHeight="1" x14ac:dyDescent="0.3"/>
    <row r="213" ht="19.5" customHeight="1" x14ac:dyDescent="0.3"/>
    <row r="214" ht="19.5" customHeight="1" x14ac:dyDescent="0.3"/>
    <row r="215" ht="19.5" customHeight="1" x14ac:dyDescent="0.3"/>
    <row r="216" ht="19.5" customHeight="1" x14ac:dyDescent="0.3"/>
    <row r="217" ht="19.5" customHeight="1" x14ac:dyDescent="0.3"/>
    <row r="218" ht="19.5" customHeight="1" x14ac:dyDescent="0.3"/>
    <row r="219" ht="19.5" customHeight="1" x14ac:dyDescent="0.3"/>
    <row r="220" ht="19.5" customHeight="1" x14ac:dyDescent="0.3"/>
    <row r="221" ht="19.5" customHeight="1" x14ac:dyDescent="0.3"/>
    <row r="222" ht="19.5" customHeight="1" x14ac:dyDescent="0.3"/>
    <row r="223" ht="19.5" customHeight="1" x14ac:dyDescent="0.3"/>
    <row r="224" ht="19.5" customHeight="1" x14ac:dyDescent="0.3"/>
    <row r="225" ht="19.5" customHeight="1" x14ac:dyDescent="0.3"/>
    <row r="226" ht="19.5" customHeight="1" x14ac:dyDescent="0.3"/>
    <row r="227" ht="19.5" customHeight="1" x14ac:dyDescent="0.3"/>
    <row r="228" ht="19.5" customHeight="1" x14ac:dyDescent="0.3"/>
    <row r="229" ht="19.5" customHeight="1" x14ac:dyDescent="0.3"/>
    <row r="230" ht="19.5" customHeight="1" x14ac:dyDescent="0.3"/>
    <row r="231" ht="19.5" customHeight="1" x14ac:dyDescent="0.3"/>
    <row r="232" ht="19.5" customHeight="1" x14ac:dyDescent="0.3"/>
    <row r="233" ht="19.5" customHeight="1" x14ac:dyDescent="0.3"/>
    <row r="234" ht="19.5" customHeight="1" x14ac:dyDescent="0.3"/>
    <row r="235" ht="19.5" customHeight="1" x14ac:dyDescent="0.3"/>
    <row r="236" ht="19.5" customHeight="1" x14ac:dyDescent="0.3"/>
    <row r="237" ht="19.5" customHeight="1" x14ac:dyDescent="0.3"/>
    <row r="238" ht="19.5" customHeight="1" x14ac:dyDescent="0.3"/>
    <row r="239" ht="19.5" customHeight="1" x14ac:dyDescent="0.3"/>
    <row r="240" ht="19.5" customHeight="1" x14ac:dyDescent="0.3"/>
    <row r="241" ht="19.5" customHeight="1" x14ac:dyDescent="0.3"/>
    <row r="242" ht="19.5" customHeight="1" x14ac:dyDescent="0.3"/>
    <row r="243" ht="19.5" customHeight="1" x14ac:dyDescent="0.3"/>
    <row r="244" ht="19.5" customHeight="1" x14ac:dyDescent="0.3"/>
    <row r="245" ht="19.5" customHeight="1" x14ac:dyDescent="0.3"/>
    <row r="246" ht="19.5" customHeight="1" x14ac:dyDescent="0.3"/>
    <row r="247" ht="19.5" customHeight="1" x14ac:dyDescent="0.3"/>
    <row r="248" ht="19.5" customHeight="1" x14ac:dyDescent="0.3"/>
    <row r="249" ht="19.5" customHeight="1" x14ac:dyDescent="0.3"/>
    <row r="250" ht="19.5" customHeight="1" x14ac:dyDescent="0.3"/>
    <row r="251" ht="19.5" customHeight="1" x14ac:dyDescent="0.3"/>
    <row r="252" ht="19.5" customHeight="1" x14ac:dyDescent="0.3"/>
    <row r="253" ht="19.5" customHeight="1" x14ac:dyDescent="0.3"/>
    <row r="254" ht="19.5" customHeight="1" x14ac:dyDescent="0.3"/>
    <row r="255" ht="19.5" customHeight="1" x14ac:dyDescent="0.3"/>
    <row r="256" ht="19.5" customHeight="1" x14ac:dyDescent="0.3"/>
    <row r="257" spans="2:2" ht="19.5" customHeight="1" x14ac:dyDescent="0.3"/>
    <row r="258" spans="2:2" ht="19.5" customHeight="1" x14ac:dyDescent="0.3"/>
    <row r="259" spans="2:2" ht="19.5" customHeight="1" x14ac:dyDescent="0.3"/>
    <row r="260" spans="2:2" ht="19.5" customHeight="1" x14ac:dyDescent="0.3"/>
    <row r="261" spans="2:2" ht="19.5" customHeight="1" x14ac:dyDescent="0.3"/>
    <row r="262" spans="2:2" ht="19.5" customHeight="1" x14ac:dyDescent="0.3"/>
    <row r="263" spans="2:2" ht="19.5" customHeight="1" x14ac:dyDescent="0.3">
      <c r="B263" s="46"/>
    </row>
    <row r="264" spans="2:2" ht="19.5" customHeight="1" x14ac:dyDescent="0.3">
      <c r="B264" s="46"/>
    </row>
    <row r="265" spans="2:2" ht="19.5" customHeight="1" x14ac:dyDescent="0.3">
      <c r="B265" s="46"/>
    </row>
    <row r="266" spans="2:2" ht="19.5" customHeight="1" x14ac:dyDescent="0.3">
      <c r="B266" s="46"/>
    </row>
    <row r="267" spans="2:2" ht="19.5" customHeight="1" x14ac:dyDescent="0.3">
      <c r="B267" s="46"/>
    </row>
    <row r="268" spans="2:2" ht="19.5" customHeight="1" x14ac:dyDescent="0.3">
      <c r="B268" s="46"/>
    </row>
    <row r="269" spans="2:2" ht="19.5" customHeight="1" x14ac:dyDescent="0.3">
      <c r="B269" s="46"/>
    </row>
    <row r="270" spans="2:2" ht="19.5" customHeight="1" x14ac:dyDescent="0.3">
      <c r="B270" s="46"/>
    </row>
    <row r="271" spans="2:2" ht="19.5" customHeight="1" x14ac:dyDescent="0.3">
      <c r="B271" s="46"/>
    </row>
    <row r="272" spans="2:2" ht="19.5" customHeight="1" x14ac:dyDescent="0.3">
      <c r="B272" s="46"/>
    </row>
    <row r="273" spans="2:2" ht="19.5" customHeight="1" x14ac:dyDescent="0.3">
      <c r="B273" s="46"/>
    </row>
    <row r="274" spans="2:2" ht="19.5" customHeight="1" x14ac:dyDescent="0.3">
      <c r="B274" s="46"/>
    </row>
    <row r="275" spans="2:2" ht="19.5" customHeight="1" x14ac:dyDescent="0.3">
      <c r="B275" s="46"/>
    </row>
    <row r="276" spans="2:2" ht="19.5" customHeight="1" x14ac:dyDescent="0.3">
      <c r="B276" s="46"/>
    </row>
    <row r="277" spans="2:2" ht="19.5" customHeight="1" x14ac:dyDescent="0.3">
      <c r="B277" s="46"/>
    </row>
    <row r="278" spans="2:2" ht="19.5" customHeight="1" x14ac:dyDescent="0.3">
      <c r="B278" s="46"/>
    </row>
    <row r="279" spans="2:2" ht="19.5" customHeight="1" x14ac:dyDescent="0.3">
      <c r="B279" s="46"/>
    </row>
    <row r="280" spans="2:2" ht="19.5" customHeight="1" x14ac:dyDescent="0.3">
      <c r="B280" s="46"/>
    </row>
    <row r="281" spans="2:2" ht="19.5" customHeight="1" x14ac:dyDescent="0.3">
      <c r="B281" s="46"/>
    </row>
    <row r="282" spans="2:2" ht="19.5" customHeight="1" x14ac:dyDescent="0.3">
      <c r="B282" s="46"/>
    </row>
    <row r="283" spans="2:2" ht="19.5" customHeight="1" x14ac:dyDescent="0.3">
      <c r="B283" s="46"/>
    </row>
    <row r="284" spans="2:2" ht="19.5" customHeight="1" x14ac:dyDescent="0.3">
      <c r="B284" s="46"/>
    </row>
    <row r="285" spans="2:2" ht="19.5" customHeight="1" x14ac:dyDescent="0.3">
      <c r="B285" s="46"/>
    </row>
    <row r="286" spans="2:2" ht="19.5" customHeight="1" x14ac:dyDescent="0.3">
      <c r="B286" s="46"/>
    </row>
    <row r="287" spans="2:2" ht="19.5" customHeight="1" x14ac:dyDescent="0.3">
      <c r="B287" s="46"/>
    </row>
    <row r="288" spans="2:2" ht="19.5" customHeight="1" x14ac:dyDescent="0.3">
      <c r="B288" s="46"/>
    </row>
    <row r="289" spans="2:2" ht="19.5" customHeight="1" x14ac:dyDescent="0.3">
      <c r="B289" s="46"/>
    </row>
    <row r="290" spans="2:2" ht="19.5" customHeight="1" x14ac:dyDescent="0.3">
      <c r="B290" s="46"/>
    </row>
    <row r="291" spans="2:2" ht="19.5" customHeight="1" x14ac:dyDescent="0.3">
      <c r="B291" s="46"/>
    </row>
    <row r="292" spans="2:2" ht="19.5" customHeight="1" x14ac:dyDescent="0.3">
      <c r="B292" s="46"/>
    </row>
    <row r="293" spans="2:2" ht="19.5" customHeight="1" x14ac:dyDescent="0.3">
      <c r="B293" s="46"/>
    </row>
    <row r="294" spans="2:2" ht="19.5" customHeight="1" x14ac:dyDescent="0.3">
      <c r="B294" s="46"/>
    </row>
    <row r="295" spans="2:2" ht="19.5" customHeight="1" x14ac:dyDescent="0.3">
      <c r="B295" s="46"/>
    </row>
    <row r="296" spans="2:2" ht="19.5" customHeight="1" x14ac:dyDescent="0.3">
      <c r="B296" s="46"/>
    </row>
    <row r="297" spans="2:2" ht="19.5" customHeight="1" x14ac:dyDescent="0.3">
      <c r="B297" s="46"/>
    </row>
    <row r="298" spans="2:2" ht="19.5" customHeight="1" x14ac:dyDescent="0.3">
      <c r="B298" s="46"/>
    </row>
    <row r="299" spans="2:2" ht="19.5" customHeight="1" x14ac:dyDescent="0.3">
      <c r="B299" s="46"/>
    </row>
    <row r="300" spans="2:2" ht="19.5" customHeight="1" x14ac:dyDescent="0.3">
      <c r="B300" s="46"/>
    </row>
    <row r="301" spans="2:2" ht="19.5" customHeight="1" x14ac:dyDescent="0.3">
      <c r="B301" s="46"/>
    </row>
    <row r="302" spans="2:2" ht="19.5" customHeight="1" x14ac:dyDescent="0.3">
      <c r="B302" s="46"/>
    </row>
    <row r="303" spans="2:2" ht="19.5" customHeight="1" x14ac:dyDescent="0.3">
      <c r="B303" s="46"/>
    </row>
    <row r="304" spans="2:2" ht="19.5" customHeight="1" x14ac:dyDescent="0.3">
      <c r="B304" s="46"/>
    </row>
    <row r="305" spans="2:2" ht="19.5" customHeight="1" x14ac:dyDescent="0.3">
      <c r="B305" s="46"/>
    </row>
    <row r="306" spans="2:2" ht="19.5" customHeight="1" x14ac:dyDescent="0.3">
      <c r="B306" s="46"/>
    </row>
    <row r="307" spans="2:2" ht="19.5" customHeight="1" x14ac:dyDescent="0.3">
      <c r="B307" s="46"/>
    </row>
    <row r="308" spans="2:2" ht="19.5" customHeight="1" x14ac:dyDescent="0.3">
      <c r="B308" s="46"/>
    </row>
    <row r="309" spans="2:2" ht="19.5" customHeight="1" x14ac:dyDescent="0.3">
      <c r="B309" s="46"/>
    </row>
    <row r="310" spans="2:2" ht="19.5" customHeight="1" x14ac:dyDescent="0.3">
      <c r="B310" s="46"/>
    </row>
    <row r="311" spans="2:2" ht="19.5" customHeight="1" x14ac:dyDescent="0.3">
      <c r="B311" s="46"/>
    </row>
    <row r="312" spans="2:2" ht="19.5" customHeight="1" x14ac:dyDescent="0.3">
      <c r="B312" s="46"/>
    </row>
    <row r="313" spans="2:2" ht="19.5" customHeight="1" x14ac:dyDescent="0.3">
      <c r="B313" s="46"/>
    </row>
    <row r="314" spans="2:2" ht="19.5" customHeight="1" x14ac:dyDescent="0.3">
      <c r="B314" s="46"/>
    </row>
    <row r="315" spans="2:2" ht="19.5" customHeight="1" x14ac:dyDescent="0.3">
      <c r="B315" s="46"/>
    </row>
    <row r="316" spans="2:2" ht="19.5" customHeight="1" x14ac:dyDescent="0.3">
      <c r="B316" s="46"/>
    </row>
    <row r="317" spans="2:2" ht="19.5" customHeight="1" x14ac:dyDescent="0.3">
      <c r="B317" s="46"/>
    </row>
    <row r="318" spans="2:2" ht="19.5" customHeight="1" x14ac:dyDescent="0.3">
      <c r="B318" s="46"/>
    </row>
    <row r="319" spans="2:2" ht="19.5" customHeight="1" x14ac:dyDescent="0.3">
      <c r="B319" s="46"/>
    </row>
    <row r="320" spans="2:2" ht="19.5" customHeight="1" x14ac:dyDescent="0.3">
      <c r="B320" s="46"/>
    </row>
    <row r="321" spans="2:2" ht="19.5" customHeight="1" x14ac:dyDescent="0.3">
      <c r="B321" s="46"/>
    </row>
    <row r="322" spans="2:2" ht="19.5" customHeight="1" x14ac:dyDescent="0.3">
      <c r="B322" s="46"/>
    </row>
    <row r="323" spans="2:2" ht="19.5" customHeight="1" x14ac:dyDescent="0.3">
      <c r="B323" s="46"/>
    </row>
    <row r="324" spans="2:2" ht="19.5" customHeight="1" x14ac:dyDescent="0.3">
      <c r="B324" s="46"/>
    </row>
    <row r="325" spans="2:2" ht="19.5" customHeight="1" x14ac:dyDescent="0.3">
      <c r="B325" s="46"/>
    </row>
    <row r="326" spans="2:2" ht="19.5" customHeight="1" x14ac:dyDescent="0.3">
      <c r="B326" s="46"/>
    </row>
    <row r="327" spans="2:2" ht="19.5" customHeight="1" x14ac:dyDescent="0.3">
      <c r="B327" s="46"/>
    </row>
    <row r="328" spans="2:2" ht="19.5" customHeight="1" x14ac:dyDescent="0.3">
      <c r="B328" s="46"/>
    </row>
    <row r="329" spans="2:2" ht="19.5" customHeight="1" x14ac:dyDescent="0.3">
      <c r="B329" s="46"/>
    </row>
    <row r="330" spans="2:2" ht="19.5" customHeight="1" x14ac:dyDescent="0.3">
      <c r="B330" s="46"/>
    </row>
    <row r="331" spans="2:2" ht="19.5" customHeight="1" x14ac:dyDescent="0.3">
      <c r="B331" s="46"/>
    </row>
    <row r="332" spans="2:2" ht="19.5" customHeight="1" x14ac:dyDescent="0.3">
      <c r="B332" s="46"/>
    </row>
    <row r="333" spans="2:2" ht="19.5" customHeight="1" x14ac:dyDescent="0.3">
      <c r="B333" s="46"/>
    </row>
    <row r="334" spans="2:2" ht="19.5" customHeight="1" x14ac:dyDescent="0.3">
      <c r="B334" s="46"/>
    </row>
    <row r="335" spans="2:2" ht="19.5" customHeight="1" x14ac:dyDescent="0.3">
      <c r="B335" s="46"/>
    </row>
    <row r="336" spans="2:2" ht="19.5" customHeight="1" x14ac:dyDescent="0.3">
      <c r="B336" s="46"/>
    </row>
    <row r="337" spans="2:2" ht="19.5" customHeight="1" x14ac:dyDescent="0.3">
      <c r="B337" s="46"/>
    </row>
    <row r="338" spans="2:2" ht="19.5" customHeight="1" x14ac:dyDescent="0.3">
      <c r="B338" s="46"/>
    </row>
    <row r="339" spans="2:2" ht="19.5" customHeight="1" x14ac:dyDescent="0.3">
      <c r="B339" s="46"/>
    </row>
    <row r="340" spans="2:2" ht="19.5" customHeight="1" x14ac:dyDescent="0.3">
      <c r="B340" s="46"/>
    </row>
    <row r="341" spans="2:2" ht="19.5" customHeight="1" x14ac:dyDescent="0.3">
      <c r="B341" s="46"/>
    </row>
    <row r="342" spans="2:2" ht="19.5" customHeight="1" x14ac:dyDescent="0.3">
      <c r="B342" s="46"/>
    </row>
    <row r="343" spans="2:2" ht="19.5" customHeight="1" x14ac:dyDescent="0.3">
      <c r="B343" s="46"/>
    </row>
    <row r="344" spans="2:2" ht="19.5" customHeight="1" x14ac:dyDescent="0.3">
      <c r="B344" s="46"/>
    </row>
    <row r="345" spans="2:2" ht="19.5" customHeight="1" x14ac:dyDescent="0.3">
      <c r="B345" s="46"/>
    </row>
    <row r="346" spans="2:2" ht="19.5" customHeight="1" x14ac:dyDescent="0.3">
      <c r="B346" s="46"/>
    </row>
    <row r="347" spans="2:2" ht="19.5" customHeight="1" x14ac:dyDescent="0.3">
      <c r="B347" s="46"/>
    </row>
    <row r="348" spans="2:2" ht="19.5" customHeight="1" x14ac:dyDescent="0.3">
      <c r="B348" s="46"/>
    </row>
    <row r="349" spans="2:2" ht="19.5" customHeight="1" x14ac:dyDescent="0.3">
      <c r="B349" s="46"/>
    </row>
    <row r="350" spans="2:2" ht="19.5" customHeight="1" x14ac:dyDescent="0.3">
      <c r="B350" s="46"/>
    </row>
    <row r="351" spans="2:2" ht="19.5" customHeight="1" x14ac:dyDescent="0.3">
      <c r="B351" s="46"/>
    </row>
    <row r="352" spans="2:2" ht="19.5" customHeight="1" x14ac:dyDescent="0.3">
      <c r="B352" s="46"/>
    </row>
    <row r="353" spans="2:2" ht="19.5" customHeight="1" x14ac:dyDescent="0.3">
      <c r="B353" s="46"/>
    </row>
    <row r="354" spans="2:2" ht="19.5" customHeight="1" x14ac:dyDescent="0.3">
      <c r="B354" s="46"/>
    </row>
    <row r="355" spans="2:2" ht="19.5" customHeight="1" x14ac:dyDescent="0.3">
      <c r="B355" s="46"/>
    </row>
    <row r="356" spans="2:2" ht="19.5" customHeight="1" x14ac:dyDescent="0.3">
      <c r="B356" s="46"/>
    </row>
    <row r="357" spans="2:2" ht="19.5" customHeight="1" x14ac:dyDescent="0.3">
      <c r="B357" s="46"/>
    </row>
    <row r="358" spans="2:2" ht="19.5" customHeight="1" x14ac:dyDescent="0.3">
      <c r="B358" s="46"/>
    </row>
    <row r="359" spans="2:2" ht="19.5" customHeight="1" x14ac:dyDescent="0.3">
      <c r="B359" s="46"/>
    </row>
    <row r="360" spans="2:2" ht="19.5" customHeight="1" x14ac:dyDescent="0.3">
      <c r="B360" s="46"/>
    </row>
    <row r="361" spans="2:2" ht="19.5" customHeight="1" x14ac:dyDescent="0.3">
      <c r="B361" s="46"/>
    </row>
    <row r="362" spans="2:2" ht="19.5" customHeight="1" x14ac:dyDescent="0.3">
      <c r="B362" s="46"/>
    </row>
    <row r="363" spans="2:2" ht="19.5" customHeight="1" x14ac:dyDescent="0.3">
      <c r="B363" s="46"/>
    </row>
    <row r="364" spans="2:2" ht="19.5" customHeight="1" x14ac:dyDescent="0.3">
      <c r="B364" s="46"/>
    </row>
    <row r="365" spans="2:2" ht="19.5" customHeight="1" x14ac:dyDescent="0.3">
      <c r="B365" s="46"/>
    </row>
    <row r="366" spans="2:2" ht="19.5" customHeight="1" x14ac:dyDescent="0.3">
      <c r="B366" s="46"/>
    </row>
    <row r="367" spans="2:2" ht="19.5" customHeight="1" x14ac:dyDescent="0.3">
      <c r="B367" s="46"/>
    </row>
    <row r="368" spans="2:2" ht="19.5" customHeight="1" x14ac:dyDescent="0.3">
      <c r="B368" s="46"/>
    </row>
    <row r="369" spans="2:2" ht="19.5" customHeight="1" x14ac:dyDescent="0.3">
      <c r="B369" s="46"/>
    </row>
    <row r="370" spans="2:2" ht="19.5" customHeight="1" x14ac:dyDescent="0.3">
      <c r="B370" s="46"/>
    </row>
    <row r="371" spans="2:2" ht="19.5" customHeight="1" x14ac:dyDescent="0.3">
      <c r="B371" s="46"/>
    </row>
    <row r="372" spans="2:2" ht="19.5" customHeight="1" x14ac:dyDescent="0.3">
      <c r="B372" s="46"/>
    </row>
    <row r="373" spans="2:2" ht="19.5" customHeight="1" x14ac:dyDescent="0.3">
      <c r="B373" s="46"/>
    </row>
    <row r="374" spans="2:2" ht="19.5" customHeight="1" x14ac:dyDescent="0.3">
      <c r="B374" s="46"/>
    </row>
    <row r="375" spans="2:2" ht="19.5" customHeight="1" x14ac:dyDescent="0.3">
      <c r="B375" s="46"/>
    </row>
    <row r="376" spans="2:2" ht="19.5" customHeight="1" x14ac:dyDescent="0.3">
      <c r="B376" s="46"/>
    </row>
    <row r="377" spans="2:2" ht="19.5" customHeight="1" x14ac:dyDescent="0.3">
      <c r="B377" s="46"/>
    </row>
    <row r="378" spans="2:2" ht="19.5" customHeight="1" x14ac:dyDescent="0.3">
      <c r="B378" s="46"/>
    </row>
    <row r="379" spans="2:2" ht="19.5" customHeight="1" x14ac:dyDescent="0.3">
      <c r="B379" s="46"/>
    </row>
    <row r="380" spans="2:2" ht="19.5" customHeight="1" x14ac:dyDescent="0.3">
      <c r="B380" s="46"/>
    </row>
    <row r="381" spans="2:2" ht="19.5" customHeight="1" x14ac:dyDescent="0.3">
      <c r="B381" s="46"/>
    </row>
    <row r="382" spans="2:2" ht="19.5" customHeight="1" x14ac:dyDescent="0.3">
      <c r="B382" s="46"/>
    </row>
    <row r="383" spans="2:2" ht="19.5" customHeight="1" x14ac:dyDescent="0.3">
      <c r="B383" s="46"/>
    </row>
    <row r="384" spans="2:2" ht="19.5" customHeight="1" x14ac:dyDescent="0.3">
      <c r="B384" s="46"/>
    </row>
    <row r="385" spans="2:2" ht="19.5" customHeight="1" x14ac:dyDescent="0.3">
      <c r="B385" s="46"/>
    </row>
    <row r="386" spans="2:2" ht="19.5" customHeight="1" x14ac:dyDescent="0.3">
      <c r="B386" s="46"/>
    </row>
    <row r="387" spans="2:2" ht="19.5" customHeight="1" x14ac:dyDescent="0.3">
      <c r="B387" s="46"/>
    </row>
    <row r="388" spans="2:2" ht="19.5" customHeight="1" x14ac:dyDescent="0.3">
      <c r="B388" s="46"/>
    </row>
    <row r="389" spans="2:2" ht="19.5" customHeight="1" x14ac:dyDescent="0.3">
      <c r="B389" s="46"/>
    </row>
    <row r="390" spans="2:2" ht="19.5" customHeight="1" x14ac:dyDescent="0.3">
      <c r="B390" s="46"/>
    </row>
    <row r="391" spans="2:2" ht="19.5" customHeight="1" x14ac:dyDescent="0.3">
      <c r="B391" s="46"/>
    </row>
    <row r="392" spans="2:2" ht="19.5" customHeight="1" x14ac:dyDescent="0.3">
      <c r="B392" s="46"/>
    </row>
    <row r="393" spans="2:2" ht="19.5" customHeight="1" x14ac:dyDescent="0.3">
      <c r="B393" s="46"/>
    </row>
    <row r="394" spans="2:2" ht="19.5" customHeight="1" x14ac:dyDescent="0.3">
      <c r="B394" s="46"/>
    </row>
    <row r="395" spans="2:2" ht="19.5" customHeight="1" x14ac:dyDescent="0.3">
      <c r="B395" s="46"/>
    </row>
    <row r="396" spans="2:2" ht="19.5" customHeight="1" x14ac:dyDescent="0.3">
      <c r="B396" s="46"/>
    </row>
    <row r="397" spans="2:2" ht="19.5" customHeight="1" x14ac:dyDescent="0.3">
      <c r="B397" s="46"/>
    </row>
    <row r="398" spans="2:2" ht="19.5" customHeight="1" x14ac:dyDescent="0.3">
      <c r="B398" s="46"/>
    </row>
    <row r="399" spans="2:2" ht="19.5" customHeight="1" x14ac:dyDescent="0.3">
      <c r="B399" s="46"/>
    </row>
    <row r="400" spans="2:2" ht="19.5" customHeight="1" x14ac:dyDescent="0.3">
      <c r="B400" s="46"/>
    </row>
    <row r="401" spans="2:2" ht="19.5" customHeight="1" x14ac:dyDescent="0.3">
      <c r="B401" s="46"/>
    </row>
    <row r="402" spans="2:2" ht="19.5" customHeight="1" x14ac:dyDescent="0.3">
      <c r="B402" s="46"/>
    </row>
    <row r="403" spans="2:2" ht="19.5" customHeight="1" x14ac:dyDescent="0.3">
      <c r="B403" s="46"/>
    </row>
    <row r="404" spans="2:2" ht="19.5" customHeight="1" x14ac:dyDescent="0.3">
      <c r="B404" s="46"/>
    </row>
    <row r="405" spans="2:2" ht="19.5" customHeight="1" x14ac:dyDescent="0.3">
      <c r="B405" s="46"/>
    </row>
    <row r="406" spans="2:2" ht="19.5" customHeight="1" x14ac:dyDescent="0.3">
      <c r="B406" s="46"/>
    </row>
    <row r="407" spans="2:2" ht="19.5" customHeight="1" x14ac:dyDescent="0.3">
      <c r="B407" s="46"/>
    </row>
    <row r="408" spans="2:2" ht="19.5" customHeight="1" x14ac:dyDescent="0.3">
      <c r="B408" s="46"/>
    </row>
    <row r="409" spans="2:2" ht="19.5" customHeight="1" x14ac:dyDescent="0.3">
      <c r="B409" s="46"/>
    </row>
    <row r="410" spans="2:2" ht="19.5" customHeight="1" x14ac:dyDescent="0.3">
      <c r="B410" s="46"/>
    </row>
    <row r="411" spans="2:2" ht="19.5" customHeight="1" x14ac:dyDescent="0.3">
      <c r="B411" s="46"/>
    </row>
    <row r="412" spans="2:2" ht="19.5" customHeight="1" x14ac:dyDescent="0.3">
      <c r="B412" s="46"/>
    </row>
    <row r="413" spans="2:2" ht="19.5" customHeight="1" x14ac:dyDescent="0.3">
      <c r="B413" s="46"/>
    </row>
    <row r="414" spans="2:2" ht="19.5" customHeight="1" x14ac:dyDescent="0.3">
      <c r="B414" s="46"/>
    </row>
    <row r="415" spans="2:2" ht="19.5" customHeight="1" x14ac:dyDescent="0.3">
      <c r="B415" s="46"/>
    </row>
    <row r="416" spans="2:2" ht="19.5" customHeight="1" x14ac:dyDescent="0.3">
      <c r="B416" s="46"/>
    </row>
    <row r="417" spans="2:2" ht="19.5" customHeight="1" x14ac:dyDescent="0.3">
      <c r="B417" s="46"/>
    </row>
    <row r="418" spans="2:2" ht="19.5" customHeight="1" x14ac:dyDescent="0.3">
      <c r="B418" s="46"/>
    </row>
    <row r="419" spans="2:2" ht="19.5" customHeight="1" x14ac:dyDescent="0.3">
      <c r="B419" s="46"/>
    </row>
    <row r="420" spans="2:2" ht="19.5" customHeight="1" x14ac:dyDescent="0.3">
      <c r="B420" s="46"/>
    </row>
    <row r="421" spans="2:2" ht="19.5" customHeight="1" x14ac:dyDescent="0.3">
      <c r="B421" s="46"/>
    </row>
    <row r="422" spans="2:2" ht="19.5" customHeight="1" x14ac:dyDescent="0.3">
      <c r="B422" s="46"/>
    </row>
    <row r="423" spans="2:2" ht="19.5" customHeight="1" x14ac:dyDescent="0.3">
      <c r="B423" s="46"/>
    </row>
    <row r="424" spans="2:2" ht="19.5" customHeight="1" x14ac:dyDescent="0.3">
      <c r="B424" s="46"/>
    </row>
    <row r="425" spans="2:2" ht="19.5" customHeight="1" x14ac:dyDescent="0.3">
      <c r="B425" s="46"/>
    </row>
    <row r="426" spans="2:2" ht="19.5" customHeight="1" x14ac:dyDescent="0.3">
      <c r="B426" s="46"/>
    </row>
    <row r="427" spans="2:2" ht="19.5" customHeight="1" x14ac:dyDescent="0.3">
      <c r="B427" s="46"/>
    </row>
    <row r="428" spans="2:2" ht="19.5" customHeight="1" x14ac:dyDescent="0.3">
      <c r="B428" s="46"/>
    </row>
    <row r="429" spans="2:2" ht="19.5" customHeight="1" x14ac:dyDescent="0.3">
      <c r="B429" s="46"/>
    </row>
    <row r="430" spans="2:2" ht="19.5" customHeight="1" x14ac:dyDescent="0.3">
      <c r="B430" s="46"/>
    </row>
    <row r="431" spans="2:2" ht="19.5" customHeight="1" x14ac:dyDescent="0.3">
      <c r="B431" s="46"/>
    </row>
    <row r="432" spans="2:2" ht="19.5" customHeight="1" x14ac:dyDescent="0.3">
      <c r="B432" s="46"/>
    </row>
    <row r="433" spans="2:2" ht="19.5" customHeight="1" x14ac:dyDescent="0.3">
      <c r="B433" s="46"/>
    </row>
    <row r="434" spans="2:2" ht="19.5" customHeight="1" x14ac:dyDescent="0.3">
      <c r="B434" s="46"/>
    </row>
    <row r="435" spans="2:2" ht="19.5" customHeight="1" x14ac:dyDescent="0.3">
      <c r="B435" s="46"/>
    </row>
    <row r="436" spans="2:2" ht="19.5" customHeight="1" x14ac:dyDescent="0.3">
      <c r="B436" s="46"/>
    </row>
    <row r="437" spans="2:2" ht="19.5" customHeight="1" x14ac:dyDescent="0.3">
      <c r="B437" s="46"/>
    </row>
    <row r="438" spans="2:2" ht="19.5" customHeight="1" x14ac:dyDescent="0.3">
      <c r="B438" s="46"/>
    </row>
    <row r="439" spans="2:2" ht="19.5" customHeight="1" x14ac:dyDescent="0.3">
      <c r="B439" s="46"/>
    </row>
    <row r="440" spans="2:2" ht="19.5" customHeight="1" x14ac:dyDescent="0.3">
      <c r="B440" s="46"/>
    </row>
    <row r="441" spans="2:2" ht="19.5" customHeight="1" x14ac:dyDescent="0.3">
      <c r="B441" s="46"/>
    </row>
    <row r="442" spans="2:2" ht="19.5" customHeight="1" x14ac:dyDescent="0.3">
      <c r="B442" s="46"/>
    </row>
    <row r="443" spans="2:2" ht="19.5" customHeight="1" x14ac:dyDescent="0.3">
      <c r="B443" s="46"/>
    </row>
    <row r="444" spans="2:2" ht="19.5" customHeight="1" x14ac:dyDescent="0.3">
      <c r="B444" s="46"/>
    </row>
    <row r="445" spans="2:2" ht="19.5" customHeight="1" x14ac:dyDescent="0.3">
      <c r="B445" s="46"/>
    </row>
    <row r="446" spans="2:2" ht="19.5" customHeight="1" x14ac:dyDescent="0.3">
      <c r="B446" s="46"/>
    </row>
    <row r="447" spans="2:2" ht="19.5" customHeight="1" x14ac:dyDescent="0.3">
      <c r="B447" s="46"/>
    </row>
    <row r="448" spans="2:2" ht="19.5" customHeight="1" x14ac:dyDescent="0.3">
      <c r="B448" s="46"/>
    </row>
    <row r="449" spans="2:2" ht="19.5" customHeight="1" x14ac:dyDescent="0.3">
      <c r="B449" s="46"/>
    </row>
    <row r="450" spans="2:2" ht="19.5" customHeight="1" x14ac:dyDescent="0.3">
      <c r="B450" s="46"/>
    </row>
    <row r="451" spans="2:2" ht="19.5" customHeight="1" x14ac:dyDescent="0.3">
      <c r="B451" s="46"/>
    </row>
    <row r="452" spans="2:2" ht="19.5" customHeight="1" x14ac:dyDescent="0.3">
      <c r="B452" s="46"/>
    </row>
    <row r="453" spans="2:2" ht="19.5" customHeight="1" x14ac:dyDescent="0.3">
      <c r="B453" s="46"/>
    </row>
    <row r="454" spans="2:2" ht="19.5" customHeight="1" x14ac:dyDescent="0.3">
      <c r="B454" s="46"/>
    </row>
    <row r="455" spans="2:2" ht="19.5" customHeight="1" x14ac:dyDescent="0.3">
      <c r="B455" s="46"/>
    </row>
    <row r="456" spans="2:2" ht="19.5" customHeight="1" x14ac:dyDescent="0.3">
      <c r="B456" s="46"/>
    </row>
    <row r="457" spans="2:2" ht="19.5" customHeight="1" x14ac:dyDescent="0.3">
      <c r="B457" s="46"/>
    </row>
    <row r="458" spans="2:2" ht="19.5" customHeight="1" x14ac:dyDescent="0.3">
      <c r="B458" s="46"/>
    </row>
    <row r="459" spans="2:2" ht="19.5" customHeight="1" x14ac:dyDescent="0.3">
      <c r="B459" s="46"/>
    </row>
    <row r="460" spans="2:2" ht="19.5" customHeight="1" x14ac:dyDescent="0.3">
      <c r="B460" s="46"/>
    </row>
    <row r="461" spans="2:2" ht="19.5" customHeight="1" x14ac:dyDescent="0.3">
      <c r="B461" s="46"/>
    </row>
    <row r="462" spans="2:2" ht="19.5" customHeight="1" x14ac:dyDescent="0.3">
      <c r="B462" s="46"/>
    </row>
    <row r="463" spans="2:2" ht="19.5" customHeight="1" x14ac:dyDescent="0.3">
      <c r="B463" s="46"/>
    </row>
    <row r="464" spans="2:2" ht="19.5" customHeight="1" x14ac:dyDescent="0.3">
      <c r="B464" s="46"/>
    </row>
    <row r="465" spans="2:2" ht="19.5" customHeight="1" x14ac:dyDescent="0.3">
      <c r="B465" s="46"/>
    </row>
    <row r="466" spans="2:2" ht="19.5" customHeight="1" x14ac:dyDescent="0.3">
      <c r="B466" s="46"/>
    </row>
    <row r="467" spans="2:2" ht="19.5" customHeight="1" x14ac:dyDescent="0.3">
      <c r="B467" s="46"/>
    </row>
    <row r="468" spans="2:2" ht="19.5" customHeight="1" x14ac:dyDescent="0.3">
      <c r="B468" s="46"/>
    </row>
    <row r="469" spans="2:2" ht="19.5" customHeight="1" x14ac:dyDescent="0.3">
      <c r="B469" s="46"/>
    </row>
    <row r="470" spans="2:2" ht="19.5" customHeight="1" x14ac:dyDescent="0.3">
      <c r="B470" s="46"/>
    </row>
    <row r="471" spans="2:2" ht="19.5" customHeight="1" x14ac:dyDescent="0.3">
      <c r="B471" s="46"/>
    </row>
    <row r="472" spans="2:2" ht="19.5" customHeight="1" x14ac:dyDescent="0.3">
      <c r="B472" s="46"/>
    </row>
    <row r="473" spans="2:2" ht="19.5" customHeight="1" x14ac:dyDescent="0.3">
      <c r="B473" s="46"/>
    </row>
    <row r="474" spans="2:2" ht="19.5" customHeight="1" x14ac:dyDescent="0.3">
      <c r="B474" s="46"/>
    </row>
    <row r="475" spans="2:2" ht="19.5" customHeight="1" x14ac:dyDescent="0.3">
      <c r="B475" s="46"/>
    </row>
    <row r="476" spans="2:2" ht="19.5" customHeight="1" x14ac:dyDescent="0.3">
      <c r="B476" s="46"/>
    </row>
    <row r="477" spans="2:2" ht="19.5" customHeight="1" x14ac:dyDescent="0.3">
      <c r="B477" s="46"/>
    </row>
    <row r="478" spans="2:2" ht="19.5" customHeight="1" x14ac:dyDescent="0.3">
      <c r="B478" s="46"/>
    </row>
    <row r="479" spans="2:2" ht="19.5" customHeight="1" x14ac:dyDescent="0.3">
      <c r="B479" s="46"/>
    </row>
    <row r="480" spans="2:2" ht="19.5" customHeight="1" x14ac:dyDescent="0.3">
      <c r="B480" s="46"/>
    </row>
    <row r="481" spans="2:2" ht="19.5" customHeight="1" x14ac:dyDescent="0.3">
      <c r="B481" s="46"/>
    </row>
    <row r="482" spans="2:2" ht="19.5" customHeight="1" x14ac:dyDescent="0.3">
      <c r="B482" s="46"/>
    </row>
    <row r="483" spans="2:2" ht="19.5" customHeight="1" x14ac:dyDescent="0.3">
      <c r="B483" s="46"/>
    </row>
    <row r="484" spans="2:2" ht="19.5" customHeight="1" x14ac:dyDescent="0.3">
      <c r="B484" s="46"/>
    </row>
    <row r="485" spans="2:2" ht="19.5" customHeight="1" x14ac:dyDescent="0.3">
      <c r="B485" s="46"/>
    </row>
    <row r="486" spans="2:2" ht="19.5" customHeight="1" x14ac:dyDescent="0.3">
      <c r="B486" s="46"/>
    </row>
    <row r="487" spans="2:2" ht="19.5" customHeight="1" x14ac:dyDescent="0.3">
      <c r="B487" s="46"/>
    </row>
    <row r="488" spans="2:2" ht="19.5" customHeight="1" x14ac:dyDescent="0.3">
      <c r="B488" s="46"/>
    </row>
    <row r="489" spans="2:2" ht="19.5" customHeight="1" x14ac:dyDescent="0.3">
      <c r="B489" s="46"/>
    </row>
    <row r="490" spans="2:2" ht="19.5" customHeight="1" x14ac:dyDescent="0.3">
      <c r="B490" s="46"/>
    </row>
    <row r="491" spans="2:2" ht="19.5" customHeight="1" x14ac:dyDescent="0.3">
      <c r="B491" s="46"/>
    </row>
    <row r="492" spans="2:2" ht="19.5" customHeight="1" x14ac:dyDescent="0.3">
      <c r="B492" s="46"/>
    </row>
    <row r="493" spans="2:2" ht="19.5" customHeight="1" x14ac:dyDescent="0.3">
      <c r="B493" s="46"/>
    </row>
    <row r="494" spans="2:2" ht="19.5" customHeight="1" x14ac:dyDescent="0.3">
      <c r="B494" s="46"/>
    </row>
    <row r="495" spans="2:2" ht="19.5" customHeight="1" x14ac:dyDescent="0.3">
      <c r="B495" s="46"/>
    </row>
    <row r="496" spans="2:2" ht="19.5" customHeight="1" x14ac:dyDescent="0.3">
      <c r="B496" s="46"/>
    </row>
    <row r="497" spans="2:2" ht="19.5" customHeight="1" x14ac:dyDescent="0.3">
      <c r="B497" s="46"/>
    </row>
    <row r="498" spans="2:2" ht="19.5" customHeight="1" x14ac:dyDescent="0.3">
      <c r="B498" s="46"/>
    </row>
    <row r="499" spans="2:2" ht="19.5" customHeight="1" x14ac:dyDescent="0.3">
      <c r="B499" s="46"/>
    </row>
    <row r="500" spans="2:2" ht="19.5" customHeight="1" x14ac:dyDescent="0.3">
      <c r="B500" s="46"/>
    </row>
    <row r="501" spans="2:2" ht="19.5" customHeight="1" x14ac:dyDescent="0.3">
      <c r="B501" s="46"/>
    </row>
    <row r="502" spans="2:2" ht="19.5" customHeight="1" x14ac:dyDescent="0.3">
      <c r="B502" s="46"/>
    </row>
    <row r="503" spans="2:2" ht="19.5" customHeight="1" x14ac:dyDescent="0.3">
      <c r="B503" s="46"/>
    </row>
    <row r="504" spans="2:2" ht="19.5" customHeight="1" x14ac:dyDescent="0.3">
      <c r="B504" s="46"/>
    </row>
    <row r="505" spans="2:2" ht="19.5" customHeight="1" x14ac:dyDescent="0.3">
      <c r="B505" s="46"/>
    </row>
    <row r="506" spans="2:2" ht="19.5" customHeight="1" x14ac:dyDescent="0.3">
      <c r="B506" s="46"/>
    </row>
    <row r="507" spans="2:2" ht="19.5" customHeight="1" x14ac:dyDescent="0.3">
      <c r="B507" s="46"/>
    </row>
    <row r="508" spans="2:2" ht="19.5" customHeight="1" x14ac:dyDescent="0.3">
      <c r="B508" s="46"/>
    </row>
    <row r="509" spans="2:2" ht="19.5" customHeight="1" x14ac:dyDescent="0.3">
      <c r="B509" s="46"/>
    </row>
    <row r="510" spans="2:2" ht="19.5" customHeight="1" x14ac:dyDescent="0.3">
      <c r="B510" s="46"/>
    </row>
    <row r="511" spans="2:2" ht="19.5" customHeight="1" x14ac:dyDescent="0.3">
      <c r="B511" s="46"/>
    </row>
    <row r="512" spans="2:2" ht="19.5" customHeight="1" x14ac:dyDescent="0.3">
      <c r="B512" s="46"/>
    </row>
    <row r="513" spans="2:2" ht="19.5" customHeight="1" x14ac:dyDescent="0.3">
      <c r="B513" s="46"/>
    </row>
    <row r="514" spans="2:2" ht="19.5" customHeight="1" x14ac:dyDescent="0.3">
      <c r="B514" s="46"/>
    </row>
    <row r="515" spans="2:2" ht="19.5" customHeight="1" x14ac:dyDescent="0.3">
      <c r="B515" s="46"/>
    </row>
    <row r="516" spans="2:2" ht="19.5" customHeight="1" x14ac:dyDescent="0.3">
      <c r="B516" s="46"/>
    </row>
    <row r="517" spans="2:2" ht="19.5" customHeight="1" x14ac:dyDescent="0.3">
      <c r="B517" s="46"/>
    </row>
    <row r="518" spans="2:2" ht="19.5" customHeight="1" x14ac:dyDescent="0.3">
      <c r="B518" s="46"/>
    </row>
    <row r="519" spans="2:2" ht="19.5" customHeight="1" x14ac:dyDescent="0.3">
      <c r="B519" s="46"/>
    </row>
    <row r="520" spans="2:2" ht="19.5" customHeight="1" x14ac:dyDescent="0.3">
      <c r="B520" s="46"/>
    </row>
    <row r="521" spans="2:2" ht="19.5" customHeight="1" x14ac:dyDescent="0.3">
      <c r="B521" s="46"/>
    </row>
    <row r="522" spans="2:2" ht="19.5" customHeight="1" x14ac:dyDescent="0.3">
      <c r="B522" s="46"/>
    </row>
    <row r="523" spans="2:2" ht="19.5" customHeight="1" x14ac:dyDescent="0.3">
      <c r="B523" s="46"/>
    </row>
    <row r="524" spans="2:2" ht="19.5" customHeight="1" x14ac:dyDescent="0.3">
      <c r="B524" s="46"/>
    </row>
    <row r="525" spans="2:2" ht="19.5" customHeight="1" x14ac:dyDescent="0.3">
      <c r="B525" s="46"/>
    </row>
    <row r="526" spans="2:2" ht="19.5" customHeight="1" x14ac:dyDescent="0.3">
      <c r="B526" s="46"/>
    </row>
    <row r="527" spans="2:2" ht="19.5" customHeight="1" x14ac:dyDescent="0.3">
      <c r="B527" s="46"/>
    </row>
    <row r="528" spans="2:2" ht="19.5" customHeight="1" x14ac:dyDescent="0.3">
      <c r="B528" s="46"/>
    </row>
    <row r="529" spans="2:2" ht="19.5" customHeight="1" x14ac:dyDescent="0.3">
      <c r="B529" s="46"/>
    </row>
    <row r="530" spans="2:2" ht="19.5" customHeight="1" x14ac:dyDescent="0.3">
      <c r="B530" s="46"/>
    </row>
    <row r="531" spans="2:2" ht="19.5" customHeight="1" x14ac:dyDescent="0.3">
      <c r="B531" s="46"/>
    </row>
    <row r="532" spans="2:2" ht="19.5" customHeight="1" x14ac:dyDescent="0.3">
      <c r="B532" s="46"/>
    </row>
    <row r="533" spans="2:2" ht="19.5" customHeight="1" x14ac:dyDescent="0.3">
      <c r="B533" s="46"/>
    </row>
    <row r="534" spans="2:2" ht="19.5" customHeight="1" x14ac:dyDescent="0.3">
      <c r="B534" s="46"/>
    </row>
    <row r="535" spans="2:2" ht="19.5" customHeight="1" x14ac:dyDescent="0.3">
      <c r="B535" s="46"/>
    </row>
    <row r="536" spans="2:2" ht="19.5" customHeight="1" x14ac:dyDescent="0.3">
      <c r="B536" s="46"/>
    </row>
    <row r="537" spans="2:2" ht="19.5" customHeight="1" x14ac:dyDescent="0.3">
      <c r="B537" s="46"/>
    </row>
    <row r="538" spans="2:2" ht="19.5" customHeight="1" x14ac:dyDescent="0.3">
      <c r="B538" s="46"/>
    </row>
    <row r="539" spans="2:2" ht="19.5" customHeight="1" x14ac:dyDescent="0.3">
      <c r="B539" s="46"/>
    </row>
    <row r="540" spans="2:2" ht="19.5" customHeight="1" x14ac:dyDescent="0.3">
      <c r="B540" s="46"/>
    </row>
    <row r="541" spans="2:2" ht="19.5" customHeight="1" x14ac:dyDescent="0.3">
      <c r="B541" s="46"/>
    </row>
    <row r="542" spans="2:2" ht="19.5" customHeight="1" x14ac:dyDescent="0.3">
      <c r="B542" s="46"/>
    </row>
    <row r="543" spans="2:2" ht="19.5" customHeight="1" x14ac:dyDescent="0.3">
      <c r="B543" s="46"/>
    </row>
    <row r="544" spans="2:2" ht="19.5" customHeight="1" x14ac:dyDescent="0.3">
      <c r="B544" s="46"/>
    </row>
    <row r="545" spans="2:2" ht="19.5" customHeight="1" x14ac:dyDescent="0.3">
      <c r="B545" s="46"/>
    </row>
    <row r="546" spans="2:2" ht="19.5" customHeight="1" x14ac:dyDescent="0.3">
      <c r="B546" s="46"/>
    </row>
    <row r="547" spans="2:2" ht="19.5" customHeight="1" x14ac:dyDescent="0.3">
      <c r="B547" s="46"/>
    </row>
    <row r="548" spans="2:2" ht="19.5" customHeight="1" x14ac:dyDescent="0.3">
      <c r="B548" s="46"/>
    </row>
    <row r="549" spans="2:2" ht="19.5" customHeight="1" x14ac:dyDescent="0.3">
      <c r="B549" s="46"/>
    </row>
    <row r="550" spans="2:2" ht="19.5" customHeight="1" x14ac:dyDescent="0.3">
      <c r="B550" s="46"/>
    </row>
    <row r="551" spans="2:2" ht="19.5" customHeight="1" x14ac:dyDescent="0.3">
      <c r="B551" s="46"/>
    </row>
    <row r="552" spans="2:2" ht="19.5" customHeight="1" x14ac:dyDescent="0.3">
      <c r="B552" s="46"/>
    </row>
    <row r="553" spans="2:2" ht="19.5" customHeight="1" x14ac:dyDescent="0.3">
      <c r="B553" s="46"/>
    </row>
    <row r="554" spans="2:2" ht="19.5" customHeight="1" x14ac:dyDescent="0.3">
      <c r="B554" s="46"/>
    </row>
    <row r="555" spans="2:2" ht="19.5" customHeight="1" x14ac:dyDescent="0.3">
      <c r="B555" s="46"/>
    </row>
    <row r="556" spans="2:2" ht="19.5" customHeight="1" x14ac:dyDescent="0.3">
      <c r="B556" s="46"/>
    </row>
    <row r="557" spans="2:2" ht="19.5" customHeight="1" x14ac:dyDescent="0.3">
      <c r="B557" s="46"/>
    </row>
    <row r="558" spans="2:2" ht="19.5" customHeight="1" x14ac:dyDescent="0.3">
      <c r="B558" s="46"/>
    </row>
    <row r="559" spans="2:2" ht="19.5" customHeight="1" x14ac:dyDescent="0.3">
      <c r="B559" s="46"/>
    </row>
    <row r="560" spans="2:2" ht="19.5" customHeight="1" x14ac:dyDescent="0.3">
      <c r="B560" s="46"/>
    </row>
    <row r="561" spans="2:2" ht="19.5" customHeight="1" x14ac:dyDescent="0.3">
      <c r="B561" s="46"/>
    </row>
    <row r="562" spans="2:2" ht="19.5" customHeight="1" x14ac:dyDescent="0.3">
      <c r="B562" s="46"/>
    </row>
    <row r="563" spans="2:2" ht="19.5" customHeight="1" x14ac:dyDescent="0.3">
      <c r="B563" s="46"/>
    </row>
    <row r="564" spans="2:2" ht="19.5" customHeight="1" x14ac:dyDescent="0.3">
      <c r="B564" s="46"/>
    </row>
    <row r="565" spans="2:2" ht="19.5" customHeight="1" x14ac:dyDescent="0.3">
      <c r="B565" s="46"/>
    </row>
    <row r="566" spans="2:2" ht="19.5" customHeight="1" x14ac:dyDescent="0.3">
      <c r="B566" s="46"/>
    </row>
    <row r="567" spans="2:2" ht="19.5" customHeight="1" x14ac:dyDescent="0.3">
      <c r="B567" s="46"/>
    </row>
    <row r="568" spans="2:2" ht="19.5" customHeight="1" x14ac:dyDescent="0.3">
      <c r="B568" s="46"/>
    </row>
    <row r="569" spans="2:2" ht="19.5" customHeight="1" x14ac:dyDescent="0.3">
      <c r="B569" s="46"/>
    </row>
    <row r="570" spans="2:2" ht="19.5" customHeight="1" x14ac:dyDescent="0.3">
      <c r="B570" s="46"/>
    </row>
    <row r="571" spans="2:2" ht="19.5" customHeight="1" x14ac:dyDescent="0.3">
      <c r="B571" s="46"/>
    </row>
    <row r="572" spans="2:2" ht="19.5" customHeight="1" x14ac:dyDescent="0.3">
      <c r="B572" s="46"/>
    </row>
    <row r="573" spans="2:2" ht="19.5" customHeight="1" x14ac:dyDescent="0.3">
      <c r="B573" s="46"/>
    </row>
    <row r="574" spans="2:2" ht="19.5" customHeight="1" x14ac:dyDescent="0.3">
      <c r="B574" s="46"/>
    </row>
    <row r="575" spans="2:2" ht="19.5" customHeight="1" x14ac:dyDescent="0.3">
      <c r="B575" s="46"/>
    </row>
    <row r="576" spans="2:2" ht="19.5" customHeight="1" x14ac:dyDescent="0.3">
      <c r="B576" s="46"/>
    </row>
    <row r="577" spans="2:2" ht="19.5" customHeight="1" x14ac:dyDescent="0.3">
      <c r="B577" s="46"/>
    </row>
    <row r="578" spans="2:2" ht="19.5" customHeight="1" x14ac:dyDescent="0.3">
      <c r="B578" s="46"/>
    </row>
    <row r="579" spans="2:2" ht="19.5" customHeight="1" x14ac:dyDescent="0.3">
      <c r="B579" s="46"/>
    </row>
    <row r="580" spans="2:2" ht="19.5" customHeight="1" x14ac:dyDescent="0.3">
      <c r="B580" s="46"/>
    </row>
    <row r="581" spans="2:2" ht="19.5" customHeight="1" x14ac:dyDescent="0.3">
      <c r="B581" s="46"/>
    </row>
    <row r="582" spans="2:2" ht="19.5" customHeight="1" x14ac:dyDescent="0.3">
      <c r="B582" s="46"/>
    </row>
    <row r="583" spans="2:2" ht="19.5" customHeight="1" x14ac:dyDescent="0.3">
      <c r="B583" s="46"/>
    </row>
    <row r="584" spans="2:2" ht="19.5" customHeight="1" x14ac:dyDescent="0.3">
      <c r="B584" s="46"/>
    </row>
    <row r="585" spans="2:2" ht="19.5" customHeight="1" x14ac:dyDescent="0.3">
      <c r="B585" s="46"/>
    </row>
    <row r="586" spans="2:2" ht="19.5" customHeight="1" x14ac:dyDescent="0.3">
      <c r="B586" s="46"/>
    </row>
    <row r="587" spans="2:2" ht="19.5" customHeight="1" x14ac:dyDescent="0.3">
      <c r="B587" s="46"/>
    </row>
    <row r="588" spans="2:2" ht="19.5" customHeight="1" x14ac:dyDescent="0.3">
      <c r="B588" s="46"/>
    </row>
    <row r="589" spans="2:2" ht="19.5" customHeight="1" x14ac:dyDescent="0.3">
      <c r="B589" s="46"/>
    </row>
    <row r="590" spans="2:2" ht="19.5" customHeight="1" x14ac:dyDescent="0.3">
      <c r="B590" s="46"/>
    </row>
    <row r="591" spans="2:2" ht="19.5" customHeight="1" x14ac:dyDescent="0.3">
      <c r="B591" s="46"/>
    </row>
    <row r="592" spans="2:2" ht="19.5" customHeight="1" x14ac:dyDescent="0.3">
      <c r="B592" s="46"/>
    </row>
    <row r="593" spans="2:2" ht="19.5" customHeight="1" x14ac:dyDescent="0.3">
      <c r="B593" s="46"/>
    </row>
    <row r="594" spans="2:2" ht="19.5" customHeight="1" x14ac:dyDescent="0.3">
      <c r="B594" s="46"/>
    </row>
    <row r="595" spans="2:2" ht="19.5" customHeight="1" x14ac:dyDescent="0.3">
      <c r="B595" s="46"/>
    </row>
    <row r="596" spans="2:2" ht="19.5" customHeight="1" x14ac:dyDescent="0.3">
      <c r="B596" s="46"/>
    </row>
    <row r="597" spans="2:2" ht="19.5" customHeight="1" x14ac:dyDescent="0.3">
      <c r="B597" s="46"/>
    </row>
    <row r="598" spans="2:2" ht="19.5" customHeight="1" x14ac:dyDescent="0.3">
      <c r="B598" s="46"/>
    </row>
    <row r="599" spans="2:2" ht="19.5" customHeight="1" x14ac:dyDescent="0.3">
      <c r="B599" s="46"/>
    </row>
    <row r="600" spans="2:2" ht="19.5" customHeight="1" x14ac:dyDescent="0.3">
      <c r="B600" s="46"/>
    </row>
    <row r="601" spans="2:2" ht="19.5" customHeight="1" x14ac:dyDescent="0.3">
      <c r="B601" s="46"/>
    </row>
    <row r="602" spans="2:2" ht="19.5" customHeight="1" x14ac:dyDescent="0.3">
      <c r="B602" s="46"/>
    </row>
    <row r="603" spans="2:2" ht="19.5" customHeight="1" x14ac:dyDescent="0.3">
      <c r="B603" s="46"/>
    </row>
    <row r="604" spans="2:2" ht="19.5" customHeight="1" x14ac:dyDescent="0.3">
      <c r="B604" s="46"/>
    </row>
    <row r="605" spans="2:2" ht="19.5" customHeight="1" x14ac:dyDescent="0.3">
      <c r="B605" s="46"/>
    </row>
    <row r="606" spans="2:2" ht="19.5" customHeight="1" x14ac:dyDescent="0.3">
      <c r="B606" s="46"/>
    </row>
    <row r="607" spans="2:2" ht="19.5" customHeight="1" x14ac:dyDescent="0.3">
      <c r="B607" s="46"/>
    </row>
    <row r="608" spans="2:2" ht="19.5" customHeight="1" x14ac:dyDescent="0.3">
      <c r="B608" s="46"/>
    </row>
    <row r="609" spans="2:2" ht="19.5" customHeight="1" x14ac:dyDescent="0.3">
      <c r="B609" s="46"/>
    </row>
    <row r="610" spans="2:2" ht="19.5" customHeight="1" x14ac:dyDescent="0.3">
      <c r="B610" s="46"/>
    </row>
    <row r="611" spans="2:2" ht="19.5" customHeight="1" x14ac:dyDescent="0.3">
      <c r="B611" s="46"/>
    </row>
    <row r="612" spans="2:2" ht="19.5" customHeight="1" x14ac:dyDescent="0.3">
      <c r="B612" s="46"/>
    </row>
    <row r="613" spans="2:2" ht="19.5" customHeight="1" x14ac:dyDescent="0.3">
      <c r="B613" s="46"/>
    </row>
    <row r="614" spans="2:2" ht="19.5" customHeight="1" x14ac:dyDescent="0.3">
      <c r="B614" s="46"/>
    </row>
    <row r="615" spans="2:2" ht="19.5" customHeight="1" x14ac:dyDescent="0.3">
      <c r="B615" s="46"/>
    </row>
    <row r="616" spans="2:2" ht="19.5" customHeight="1" x14ac:dyDescent="0.3">
      <c r="B616" s="46"/>
    </row>
    <row r="617" spans="2:2" ht="19.5" customHeight="1" x14ac:dyDescent="0.3">
      <c r="B617" s="46"/>
    </row>
    <row r="618" spans="2:2" ht="19.5" customHeight="1" x14ac:dyDescent="0.3">
      <c r="B618" s="46"/>
    </row>
    <row r="619" spans="2:2" ht="19.5" customHeight="1" x14ac:dyDescent="0.3">
      <c r="B619" s="46"/>
    </row>
    <row r="620" spans="2:2" ht="19.5" customHeight="1" x14ac:dyDescent="0.3">
      <c r="B620" s="46"/>
    </row>
    <row r="621" spans="2:2" ht="19.5" customHeight="1" x14ac:dyDescent="0.3">
      <c r="B621" s="46"/>
    </row>
    <row r="622" spans="2:2" ht="19.5" customHeight="1" x14ac:dyDescent="0.3">
      <c r="B622" s="46"/>
    </row>
    <row r="623" spans="2:2" ht="19.5" customHeight="1" x14ac:dyDescent="0.3">
      <c r="B623" s="46"/>
    </row>
    <row r="624" spans="2:2" ht="19.5" customHeight="1" x14ac:dyDescent="0.3">
      <c r="B624" s="46"/>
    </row>
    <row r="625" spans="2:2" ht="19.5" customHeight="1" x14ac:dyDescent="0.3">
      <c r="B625" s="46"/>
    </row>
    <row r="626" spans="2:2" ht="19.5" customHeight="1" x14ac:dyDescent="0.3">
      <c r="B626" s="46"/>
    </row>
    <row r="627" spans="2:2" ht="19.5" customHeight="1" x14ac:dyDescent="0.3">
      <c r="B627" s="46"/>
    </row>
    <row r="628" spans="2:2" ht="19.5" customHeight="1" x14ac:dyDescent="0.3">
      <c r="B628" s="46"/>
    </row>
    <row r="629" spans="2:2" ht="19.5" customHeight="1" x14ac:dyDescent="0.3">
      <c r="B629" s="46"/>
    </row>
    <row r="630" spans="2:2" ht="19.5" customHeight="1" x14ac:dyDescent="0.3">
      <c r="B630" s="46"/>
    </row>
    <row r="631" spans="2:2" ht="19.5" customHeight="1" x14ac:dyDescent="0.3">
      <c r="B631" s="46"/>
    </row>
    <row r="632" spans="2:2" ht="19.5" customHeight="1" x14ac:dyDescent="0.3">
      <c r="B632" s="46"/>
    </row>
    <row r="633" spans="2:2" ht="19.5" customHeight="1" x14ac:dyDescent="0.3">
      <c r="B633" s="46"/>
    </row>
    <row r="634" spans="2:2" ht="19.5" customHeight="1" x14ac:dyDescent="0.3">
      <c r="B634" s="46"/>
    </row>
    <row r="635" spans="2:2" ht="19.5" customHeight="1" x14ac:dyDescent="0.3">
      <c r="B635" s="46"/>
    </row>
    <row r="636" spans="2:2" ht="19.5" customHeight="1" x14ac:dyDescent="0.3">
      <c r="B636" s="46"/>
    </row>
    <row r="637" spans="2:2" ht="19.5" customHeight="1" x14ac:dyDescent="0.3">
      <c r="B637" s="46"/>
    </row>
    <row r="638" spans="2:2" ht="19.5" customHeight="1" x14ac:dyDescent="0.3">
      <c r="B638" s="46"/>
    </row>
    <row r="639" spans="2:2" ht="19.5" customHeight="1" x14ac:dyDescent="0.3">
      <c r="B639" s="46"/>
    </row>
    <row r="640" spans="2:2" ht="19.5" customHeight="1" x14ac:dyDescent="0.3">
      <c r="B640" s="46"/>
    </row>
    <row r="641" spans="2:2" ht="19.5" customHeight="1" x14ac:dyDescent="0.3">
      <c r="B641" s="46"/>
    </row>
    <row r="642" spans="2:2" ht="19.5" customHeight="1" x14ac:dyDescent="0.3">
      <c r="B642" s="46"/>
    </row>
    <row r="643" spans="2:2" ht="19.5" customHeight="1" x14ac:dyDescent="0.3">
      <c r="B643" s="46"/>
    </row>
    <row r="644" spans="2:2" ht="19.5" customHeight="1" x14ac:dyDescent="0.3">
      <c r="B644" s="46"/>
    </row>
    <row r="645" spans="2:2" ht="19.5" customHeight="1" x14ac:dyDescent="0.3">
      <c r="B645" s="46"/>
    </row>
    <row r="646" spans="2:2" ht="19.5" customHeight="1" x14ac:dyDescent="0.3">
      <c r="B646" s="46"/>
    </row>
    <row r="647" spans="2:2" ht="19.5" customHeight="1" x14ac:dyDescent="0.3">
      <c r="B647" s="46"/>
    </row>
    <row r="648" spans="2:2" ht="19.5" customHeight="1" x14ac:dyDescent="0.3">
      <c r="B648" s="46"/>
    </row>
    <row r="649" spans="2:2" ht="19.5" customHeight="1" x14ac:dyDescent="0.3">
      <c r="B649" s="46"/>
    </row>
    <row r="650" spans="2:2" ht="19.5" customHeight="1" x14ac:dyDescent="0.3">
      <c r="B650" s="46"/>
    </row>
    <row r="651" spans="2:2" ht="19.5" customHeight="1" x14ac:dyDescent="0.3">
      <c r="B651" s="46"/>
    </row>
    <row r="652" spans="2:2" ht="19.5" customHeight="1" x14ac:dyDescent="0.3">
      <c r="B652" s="46"/>
    </row>
    <row r="653" spans="2:2" ht="19.5" customHeight="1" x14ac:dyDescent="0.3">
      <c r="B653" s="46"/>
    </row>
    <row r="654" spans="2:2" ht="19.5" customHeight="1" x14ac:dyDescent="0.3">
      <c r="B654" s="46"/>
    </row>
    <row r="655" spans="2:2" ht="19.5" customHeight="1" x14ac:dyDescent="0.3">
      <c r="B655" s="46"/>
    </row>
    <row r="656" spans="2:2" ht="19.5" customHeight="1" x14ac:dyDescent="0.3">
      <c r="B656" s="46"/>
    </row>
    <row r="657" spans="2:2" ht="19.5" customHeight="1" x14ac:dyDescent="0.3">
      <c r="B657" s="46"/>
    </row>
    <row r="658" spans="2:2" ht="19.5" customHeight="1" x14ac:dyDescent="0.3">
      <c r="B658" s="46"/>
    </row>
    <row r="659" spans="2:2" ht="19.5" customHeight="1" x14ac:dyDescent="0.3">
      <c r="B659" s="46"/>
    </row>
    <row r="660" spans="2:2" ht="19.5" customHeight="1" x14ac:dyDescent="0.3">
      <c r="B660" s="46"/>
    </row>
    <row r="661" spans="2:2" ht="19.5" customHeight="1" x14ac:dyDescent="0.3">
      <c r="B661" s="46"/>
    </row>
    <row r="662" spans="2:2" ht="19.5" customHeight="1" x14ac:dyDescent="0.3">
      <c r="B662" s="46"/>
    </row>
    <row r="663" spans="2:2" ht="19.5" customHeight="1" x14ac:dyDescent="0.3">
      <c r="B663" s="46"/>
    </row>
    <row r="664" spans="2:2" ht="19.5" customHeight="1" x14ac:dyDescent="0.3">
      <c r="B664" s="46"/>
    </row>
    <row r="665" spans="2:2" ht="19.5" customHeight="1" x14ac:dyDescent="0.3">
      <c r="B665" s="46"/>
    </row>
    <row r="666" spans="2:2" ht="19.5" customHeight="1" x14ac:dyDescent="0.3">
      <c r="B666" s="46"/>
    </row>
    <row r="667" spans="2:2" ht="19.5" customHeight="1" x14ac:dyDescent="0.3">
      <c r="B667" s="46"/>
    </row>
    <row r="668" spans="2:2" ht="19.5" customHeight="1" x14ac:dyDescent="0.3">
      <c r="B668" s="46"/>
    </row>
    <row r="669" spans="2:2" ht="19.5" customHeight="1" x14ac:dyDescent="0.3">
      <c r="B669" s="46"/>
    </row>
    <row r="670" spans="2:2" ht="19.5" customHeight="1" x14ac:dyDescent="0.3">
      <c r="B670" s="46"/>
    </row>
    <row r="671" spans="2:2" ht="19.5" customHeight="1" x14ac:dyDescent="0.3">
      <c r="B671" s="46"/>
    </row>
    <row r="672" spans="2:2" ht="19.5" customHeight="1" x14ac:dyDescent="0.3">
      <c r="B672" s="46"/>
    </row>
    <row r="673" spans="2:2" ht="19.5" customHeight="1" x14ac:dyDescent="0.3">
      <c r="B673" s="46"/>
    </row>
    <row r="674" spans="2:2" ht="19.5" customHeight="1" x14ac:dyDescent="0.3">
      <c r="B674" s="46"/>
    </row>
    <row r="675" spans="2:2" ht="19.5" customHeight="1" x14ac:dyDescent="0.3">
      <c r="B675" s="46"/>
    </row>
    <row r="676" spans="2:2" ht="19.5" customHeight="1" x14ac:dyDescent="0.3">
      <c r="B676" s="46"/>
    </row>
    <row r="677" spans="2:2" ht="19.5" customHeight="1" x14ac:dyDescent="0.3">
      <c r="B677" s="46"/>
    </row>
    <row r="678" spans="2:2" ht="19.5" customHeight="1" x14ac:dyDescent="0.3">
      <c r="B678" s="46"/>
    </row>
    <row r="679" spans="2:2" ht="19.5" customHeight="1" x14ac:dyDescent="0.3">
      <c r="B679" s="46"/>
    </row>
    <row r="680" spans="2:2" ht="19.5" customHeight="1" x14ac:dyDescent="0.3">
      <c r="B680" s="46"/>
    </row>
    <row r="681" spans="2:2" ht="19.5" customHeight="1" x14ac:dyDescent="0.3">
      <c r="B681" s="46"/>
    </row>
    <row r="682" spans="2:2" ht="19.5" customHeight="1" x14ac:dyDescent="0.3">
      <c r="B682" s="46"/>
    </row>
    <row r="683" spans="2:2" ht="19.5" customHeight="1" x14ac:dyDescent="0.3">
      <c r="B683" s="46"/>
    </row>
    <row r="684" spans="2:2" ht="19.5" customHeight="1" x14ac:dyDescent="0.3">
      <c r="B684" s="46"/>
    </row>
    <row r="685" spans="2:2" ht="19.5" customHeight="1" x14ac:dyDescent="0.3">
      <c r="B685" s="46"/>
    </row>
    <row r="686" spans="2:2" ht="19.5" customHeight="1" x14ac:dyDescent="0.3">
      <c r="B686" s="46"/>
    </row>
    <row r="687" spans="2:2" ht="19.5" customHeight="1" x14ac:dyDescent="0.3">
      <c r="B687" s="46"/>
    </row>
    <row r="688" spans="2:2" ht="19.5" customHeight="1" x14ac:dyDescent="0.3">
      <c r="B688" s="46"/>
    </row>
    <row r="689" spans="2:2" ht="19.5" customHeight="1" x14ac:dyDescent="0.3">
      <c r="B689" s="46"/>
    </row>
    <row r="690" spans="2:2" ht="19.5" customHeight="1" x14ac:dyDescent="0.3">
      <c r="B690" s="46"/>
    </row>
    <row r="691" spans="2:2" ht="19.5" customHeight="1" x14ac:dyDescent="0.3">
      <c r="B691" s="46"/>
    </row>
    <row r="692" spans="2:2" ht="19.5" customHeight="1" x14ac:dyDescent="0.3">
      <c r="B692" s="46"/>
    </row>
    <row r="693" spans="2:2" ht="19.5" customHeight="1" x14ac:dyDescent="0.3">
      <c r="B693" s="46"/>
    </row>
    <row r="694" spans="2:2" ht="19.5" customHeight="1" x14ac:dyDescent="0.3">
      <c r="B694" s="46"/>
    </row>
    <row r="695" spans="2:2" ht="19.5" customHeight="1" x14ac:dyDescent="0.3">
      <c r="B695" s="46"/>
    </row>
    <row r="696" spans="2:2" ht="19.5" customHeight="1" x14ac:dyDescent="0.3">
      <c r="B696" s="46"/>
    </row>
    <row r="697" spans="2:2" ht="19.5" customHeight="1" x14ac:dyDescent="0.3">
      <c r="B697" s="46"/>
    </row>
    <row r="698" spans="2:2" ht="19.5" customHeight="1" x14ac:dyDescent="0.3">
      <c r="B698" s="46"/>
    </row>
    <row r="699" spans="2:2" ht="19.5" customHeight="1" x14ac:dyDescent="0.3">
      <c r="B699" s="46"/>
    </row>
    <row r="700" spans="2:2" ht="19.5" customHeight="1" x14ac:dyDescent="0.3">
      <c r="B700" s="46"/>
    </row>
    <row r="701" spans="2:2" ht="19.5" customHeight="1" x14ac:dyDescent="0.3">
      <c r="B701" s="46"/>
    </row>
    <row r="702" spans="2:2" ht="19.5" customHeight="1" x14ac:dyDescent="0.3">
      <c r="B702" s="46"/>
    </row>
    <row r="703" spans="2:2" ht="19.5" customHeight="1" x14ac:dyDescent="0.3">
      <c r="B703" s="46"/>
    </row>
    <row r="704" spans="2:2" ht="19.5" customHeight="1" x14ac:dyDescent="0.3">
      <c r="B704" s="46"/>
    </row>
    <row r="705" spans="2:2" ht="19.5" customHeight="1" x14ac:dyDescent="0.3">
      <c r="B705" s="46"/>
    </row>
    <row r="706" spans="2:2" ht="19.5" customHeight="1" x14ac:dyDescent="0.3">
      <c r="B706" s="46"/>
    </row>
    <row r="707" spans="2:2" ht="19.5" customHeight="1" x14ac:dyDescent="0.3">
      <c r="B707" s="46"/>
    </row>
    <row r="708" spans="2:2" ht="19.5" customHeight="1" x14ac:dyDescent="0.3">
      <c r="B708" s="46"/>
    </row>
    <row r="709" spans="2:2" ht="19.5" customHeight="1" x14ac:dyDescent="0.3">
      <c r="B709" s="46"/>
    </row>
    <row r="710" spans="2:2" ht="19.5" customHeight="1" x14ac:dyDescent="0.3">
      <c r="B710" s="46"/>
    </row>
    <row r="711" spans="2:2" ht="19.5" customHeight="1" x14ac:dyDescent="0.3">
      <c r="B711" s="46"/>
    </row>
    <row r="712" spans="2:2" ht="19.5" customHeight="1" x14ac:dyDescent="0.3">
      <c r="B712" s="46"/>
    </row>
    <row r="713" spans="2:2" ht="19.5" customHeight="1" x14ac:dyDescent="0.3">
      <c r="B713" s="46"/>
    </row>
    <row r="714" spans="2:2" ht="19.5" customHeight="1" x14ac:dyDescent="0.3">
      <c r="B714" s="46"/>
    </row>
    <row r="715" spans="2:2" ht="19.5" customHeight="1" x14ac:dyDescent="0.3">
      <c r="B715" s="46"/>
    </row>
    <row r="716" spans="2:2" ht="19.5" customHeight="1" x14ac:dyDescent="0.3">
      <c r="B716" s="46"/>
    </row>
    <row r="717" spans="2:2" ht="19.5" customHeight="1" x14ac:dyDescent="0.3">
      <c r="B717" s="46"/>
    </row>
    <row r="718" spans="2:2" ht="19.5" customHeight="1" x14ac:dyDescent="0.3">
      <c r="B718" s="46"/>
    </row>
    <row r="719" spans="2:2" ht="19.5" customHeight="1" x14ac:dyDescent="0.3">
      <c r="B719" s="46"/>
    </row>
    <row r="720" spans="2:2" ht="19.5" customHeight="1" x14ac:dyDescent="0.3">
      <c r="B720" s="46"/>
    </row>
    <row r="721" spans="2:2" ht="19.5" customHeight="1" x14ac:dyDescent="0.3">
      <c r="B721" s="46"/>
    </row>
    <row r="722" spans="2:2" ht="19.5" customHeight="1" x14ac:dyDescent="0.3">
      <c r="B722" s="46"/>
    </row>
    <row r="723" spans="2:2" ht="19.5" customHeight="1" x14ac:dyDescent="0.3">
      <c r="B723" s="46"/>
    </row>
    <row r="724" spans="2:2" ht="19.5" customHeight="1" x14ac:dyDescent="0.3">
      <c r="B724" s="46"/>
    </row>
    <row r="725" spans="2:2" ht="19.5" customHeight="1" x14ac:dyDescent="0.3">
      <c r="B725" s="46"/>
    </row>
    <row r="726" spans="2:2" ht="19.5" customHeight="1" x14ac:dyDescent="0.3">
      <c r="B726" s="46"/>
    </row>
    <row r="727" spans="2:2" ht="19.5" customHeight="1" x14ac:dyDescent="0.3">
      <c r="B727" s="46"/>
    </row>
    <row r="728" spans="2:2" ht="19.5" customHeight="1" x14ac:dyDescent="0.3">
      <c r="B728" s="46"/>
    </row>
    <row r="729" spans="2:2" ht="19.5" customHeight="1" x14ac:dyDescent="0.3">
      <c r="B729" s="46"/>
    </row>
    <row r="730" spans="2:2" ht="19.5" customHeight="1" x14ac:dyDescent="0.3">
      <c r="B730" s="46"/>
    </row>
    <row r="731" spans="2:2" ht="19.5" customHeight="1" x14ac:dyDescent="0.3">
      <c r="B731" s="46"/>
    </row>
    <row r="732" spans="2:2" ht="19.5" customHeight="1" x14ac:dyDescent="0.3">
      <c r="B732" s="46"/>
    </row>
    <row r="733" spans="2:2" ht="19.5" customHeight="1" x14ac:dyDescent="0.3">
      <c r="B733" s="46"/>
    </row>
    <row r="734" spans="2:2" ht="19.5" customHeight="1" x14ac:dyDescent="0.3">
      <c r="B734" s="46"/>
    </row>
    <row r="735" spans="2:2" ht="19.5" customHeight="1" x14ac:dyDescent="0.3">
      <c r="B735" s="46"/>
    </row>
    <row r="736" spans="2:2" ht="19.5" customHeight="1" x14ac:dyDescent="0.3">
      <c r="B736" s="46"/>
    </row>
    <row r="737" spans="2:2" ht="19.5" customHeight="1" x14ac:dyDescent="0.3">
      <c r="B737" s="46"/>
    </row>
    <row r="738" spans="2:2" ht="19.5" customHeight="1" x14ac:dyDescent="0.3">
      <c r="B738" s="46"/>
    </row>
    <row r="739" spans="2:2" ht="19.5" customHeight="1" x14ac:dyDescent="0.3">
      <c r="B739" s="46"/>
    </row>
    <row r="740" spans="2:2" ht="19.5" customHeight="1" x14ac:dyDescent="0.3">
      <c r="B740" s="46"/>
    </row>
    <row r="741" spans="2:2" ht="19.5" customHeight="1" x14ac:dyDescent="0.3">
      <c r="B741" s="46"/>
    </row>
    <row r="742" spans="2:2" ht="19.5" customHeight="1" x14ac:dyDescent="0.3">
      <c r="B742" s="46"/>
    </row>
    <row r="743" spans="2:2" ht="19.5" customHeight="1" x14ac:dyDescent="0.3">
      <c r="B743" s="46"/>
    </row>
    <row r="744" spans="2:2" ht="19.5" customHeight="1" x14ac:dyDescent="0.3">
      <c r="B744" s="46"/>
    </row>
    <row r="745" spans="2:2" ht="19.5" customHeight="1" x14ac:dyDescent="0.3">
      <c r="B745" s="46"/>
    </row>
    <row r="746" spans="2:2" ht="19.5" customHeight="1" x14ac:dyDescent="0.3">
      <c r="B746" s="46"/>
    </row>
    <row r="747" spans="2:2" ht="19.5" customHeight="1" x14ac:dyDescent="0.3">
      <c r="B747" s="46"/>
    </row>
    <row r="748" spans="2:2" ht="19.5" customHeight="1" x14ac:dyDescent="0.3">
      <c r="B748" s="46"/>
    </row>
    <row r="749" spans="2:2" ht="19.5" customHeight="1" x14ac:dyDescent="0.3">
      <c r="B749" s="46"/>
    </row>
    <row r="750" spans="2:2" ht="19.5" customHeight="1" x14ac:dyDescent="0.3">
      <c r="B750" s="46"/>
    </row>
    <row r="751" spans="2:2" ht="19.5" customHeight="1" x14ac:dyDescent="0.3">
      <c r="B751" s="46"/>
    </row>
    <row r="752" spans="2:2" ht="19.5" customHeight="1" x14ac:dyDescent="0.3">
      <c r="B752" s="46"/>
    </row>
    <row r="753" spans="2:2" ht="19.5" customHeight="1" x14ac:dyDescent="0.3">
      <c r="B753" s="46"/>
    </row>
    <row r="754" spans="2:2" ht="19.5" customHeight="1" x14ac:dyDescent="0.3">
      <c r="B754" s="46"/>
    </row>
    <row r="755" spans="2:2" ht="19.5" customHeight="1" x14ac:dyDescent="0.3">
      <c r="B755" s="46"/>
    </row>
    <row r="756" spans="2:2" ht="19.5" customHeight="1" x14ac:dyDescent="0.3">
      <c r="B756" s="46"/>
    </row>
    <row r="757" spans="2:2" ht="19.5" customHeight="1" x14ac:dyDescent="0.3">
      <c r="B757" s="46"/>
    </row>
    <row r="758" spans="2:2" ht="19.5" customHeight="1" x14ac:dyDescent="0.3">
      <c r="B758" s="46"/>
    </row>
    <row r="759" spans="2:2" ht="19.5" customHeight="1" x14ac:dyDescent="0.3">
      <c r="B759" s="46"/>
    </row>
    <row r="760" spans="2:2" ht="19.5" customHeight="1" x14ac:dyDescent="0.3">
      <c r="B760" s="46"/>
    </row>
    <row r="761" spans="2:2" ht="19.5" customHeight="1" x14ac:dyDescent="0.3">
      <c r="B761" s="46"/>
    </row>
    <row r="762" spans="2:2" ht="19.5" customHeight="1" x14ac:dyDescent="0.3">
      <c r="B762" s="46"/>
    </row>
    <row r="763" spans="2:2" ht="19.5" customHeight="1" x14ac:dyDescent="0.3">
      <c r="B763" s="46"/>
    </row>
    <row r="764" spans="2:2" ht="19.5" customHeight="1" x14ac:dyDescent="0.3">
      <c r="B764" s="46"/>
    </row>
    <row r="765" spans="2:2" ht="19.5" customHeight="1" x14ac:dyDescent="0.3">
      <c r="B765" s="46"/>
    </row>
    <row r="766" spans="2:2" ht="19.5" customHeight="1" x14ac:dyDescent="0.3">
      <c r="B766" s="46"/>
    </row>
    <row r="767" spans="2:2" ht="19.5" customHeight="1" x14ac:dyDescent="0.3">
      <c r="B767" s="46"/>
    </row>
    <row r="768" spans="2:2" ht="19.5" customHeight="1" x14ac:dyDescent="0.3">
      <c r="B768" s="46"/>
    </row>
    <row r="769" spans="2:2" ht="19.5" customHeight="1" x14ac:dyDescent="0.3">
      <c r="B769" s="46"/>
    </row>
    <row r="770" spans="2:2" ht="19.5" customHeight="1" x14ac:dyDescent="0.3">
      <c r="B770" s="46"/>
    </row>
    <row r="771" spans="2:2" ht="19.5" customHeight="1" x14ac:dyDescent="0.3">
      <c r="B771" s="46"/>
    </row>
    <row r="772" spans="2:2" ht="19.5" customHeight="1" x14ac:dyDescent="0.3">
      <c r="B772" s="46"/>
    </row>
    <row r="773" spans="2:2" ht="19.5" customHeight="1" x14ac:dyDescent="0.3">
      <c r="B773" s="46"/>
    </row>
    <row r="774" spans="2:2" ht="19.5" customHeight="1" x14ac:dyDescent="0.3">
      <c r="B774" s="46"/>
    </row>
    <row r="775" spans="2:2" ht="19.5" customHeight="1" x14ac:dyDescent="0.3">
      <c r="B775" s="46"/>
    </row>
    <row r="776" spans="2:2" ht="19.5" customHeight="1" x14ac:dyDescent="0.3">
      <c r="B776" s="46"/>
    </row>
    <row r="777" spans="2:2" ht="19.5" customHeight="1" x14ac:dyDescent="0.3">
      <c r="B777" s="46"/>
    </row>
    <row r="778" spans="2:2" ht="19.5" customHeight="1" x14ac:dyDescent="0.3">
      <c r="B778" s="46"/>
    </row>
    <row r="779" spans="2:2" ht="19.5" customHeight="1" x14ac:dyDescent="0.3">
      <c r="B779" s="46"/>
    </row>
    <row r="780" spans="2:2" ht="19.5" customHeight="1" x14ac:dyDescent="0.3">
      <c r="B780" s="46"/>
    </row>
    <row r="781" spans="2:2" ht="19.5" customHeight="1" x14ac:dyDescent="0.3">
      <c r="B781" s="46"/>
    </row>
    <row r="782" spans="2:2" ht="19.5" customHeight="1" x14ac:dyDescent="0.3">
      <c r="B782" s="46"/>
    </row>
    <row r="783" spans="2:2" ht="19.5" customHeight="1" x14ac:dyDescent="0.3">
      <c r="B783" s="46"/>
    </row>
    <row r="784" spans="2:2" ht="19.5" customHeight="1" x14ac:dyDescent="0.3">
      <c r="B784" s="46"/>
    </row>
    <row r="785" spans="2:2" ht="19.5" customHeight="1" x14ac:dyDescent="0.3">
      <c r="B785" s="46"/>
    </row>
    <row r="786" spans="2:2" ht="19.5" customHeight="1" x14ac:dyDescent="0.3">
      <c r="B786" s="46"/>
    </row>
    <row r="787" spans="2:2" ht="19.5" customHeight="1" x14ac:dyDescent="0.3">
      <c r="B787" s="46"/>
    </row>
    <row r="788" spans="2:2" ht="19.5" customHeight="1" x14ac:dyDescent="0.3">
      <c r="B788" s="46"/>
    </row>
    <row r="789" spans="2:2" ht="19.5" customHeight="1" x14ac:dyDescent="0.3">
      <c r="B789" s="46"/>
    </row>
  </sheetData>
  <pageMargins left="0.40643367185828816" right="0" top="0.50269427835104064" bottom="0.7379979831111021" header="0" footer="0"/>
  <pageSetup paperSize="9" scale="95" orientation="portrait"/>
  <headerFooter>
    <oddHeader>&amp;L &amp;C University of Moratuwa, Sri Lanka Faculty of Engineering   Detailed Mark Sheet&amp;R[CONFIDENTIAL] Exam ID : 218 Common Engineering</oddHeader>
    <oddFooter>&amp;L..................................... Signature of Examiner Date.............................&amp;CSemester 2 ('18 Batch) &amp;P of &amp;R.................................... Signature of Moderator   Date.............................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4873-B9F6-444F-B1FC-99DE98B7A313}">
  <dimension ref="A1:E102"/>
  <sheetViews>
    <sheetView topLeftCell="A82" workbookViewId="0">
      <selection activeCell="D2" sqref="D2:D102"/>
    </sheetView>
  </sheetViews>
  <sheetFormatPr defaultRowHeight="14.4" x14ac:dyDescent="0.3"/>
  <cols>
    <col min="2" max="2" width="26.44140625" bestFit="1" customWidth="1"/>
    <col min="3" max="3" width="9.77734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t="s">
        <v>110</v>
      </c>
      <c r="B2" t="s">
        <v>111</v>
      </c>
      <c r="C2">
        <f>'Detailed Marks'!L4</f>
        <v>66.5</v>
      </c>
      <c r="D2">
        <f>'Detailed Marks'!M4/60*100</f>
        <v>80.7</v>
      </c>
    </row>
    <row r="3" spans="1:5" x14ac:dyDescent="0.3">
      <c r="A3" t="s">
        <v>112</v>
      </c>
      <c r="B3" t="s">
        <v>113</v>
      </c>
      <c r="C3">
        <f>'Detailed Marks'!L5</f>
        <v>58.5</v>
      </c>
      <c r="D3">
        <f>'Detailed Marks'!M5/60*100</f>
        <v>85.283333333333331</v>
      </c>
    </row>
    <row r="4" spans="1:5" x14ac:dyDescent="0.3">
      <c r="A4" t="s">
        <v>101</v>
      </c>
      <c r="B4" t="s">
        <v>102</v>
      </c>
      <c r="C4">
        <f>'Detailed Marks'!L6</f>
        <v>51</v>
      </c>
      <c r="D4">
        <f>'Detailed Marks'!M6/60*100</f>
        <v>85.416666666666657</v>
      </c>
    </row>
    <row r="5" spans="1:5" x14ac:dyDescent="0.3">
      <c r="A5" t="s">
        <v>114</v>
      </c>
      <c r="B5" t="s">
        <v>115</v>
      </c>
      <c r="C5">
        <f>'Detailed Marks'!L7</f>
        <v>56.5</v>
      </c>
      <c r="D5">
        <f>'Detailed Marks'!M7/60*100</f>
        <v>86.8</v>
      </c>
    </row>
    <row r="6" spans="1:5" x14ac:dyDescent="0.3">
      <c r="A6" t="s">
        <v>116</v>
      </c>
      <c r="B6" t="s">
        <v>117</v>
      </c>
      <c r="C6">
        <f>'Detailed Marks'!L8</f>
        <v>42</v>
      </c>
      <c r="D6">
        <f>'Detailed Marks'!M8/60*100</f>
        <v>82.216666666666654</v>
      </c>
    </row>
    <row r="7" spans="1:5" x14ac:dyDescent="0.3">
      <c r="A7" t="s">
        <v>118</v>
      </c>
      <c r="B7" t="s">
        <v>119</v>
      </c>
      <c r="C7">
        <f>'Detailed Marks'!L9</f>
        <v>43.5</v>
      </c>
      <c r="D7">
        <f>'Detailed Marks'!M9/60*100</f>
        <v>81.466666666666683</v>
      </c>
    </row>
    <row r="8" spans="1:5" x14ac:dyDescent="0.3">
      <c r="A8" t="s">
        <v>120</v>
      </c>
      <c r="B8" t="s">
        <v>121</v>
      </c>
      <c r="C8">
        <f>'Detailed Marks'!L10</f>
        <v>73</v>
      </c>
      <c r="D8">
        <f>'Detailed Marks'!M10/60*100</f>
        <v>88.61666666666666</v>
      </c>
    </row>
    <row r="9" spans="1:5" x14ac:dyDescent="0.3">
      <c r="A9" t="s">
        <v>122</v>
      </c>
      <c r="B9" t="s">
        <v>123</v>
      </c>
      <c r="C9">
        <f>'Detailed Marks'!L11</f>
        <v>66</v>
      </c>
      <c r="D9">
        <f>'Detailed Marks'!M11/60*100</f>
        <v>81.283333333333346</v>
      </c>
    </row>
    <row r="10" spans="1:5" x14ac:dyDescent="0.3">
      <c r="A10" t="s">
        <v>124</v>
      </c>
      <c r="B10" t="s">
        <v>125</v>
      </c>
      <c r="C10">
        <f>'Detailed Marks'!L12</f>
        <v>62.5</v>
      </c>
      <c r="D10">
        <f>'Detailed Marks'!M12/60*100</f>
        <v>92.083333333333329</v>
      </c>
    </row>
    <row r="11" spans="1:5" x14ac:dyDescent="0.3">
      <c r="A11" t="s">
        <v>126</v>
      </c>
      <c r="B11" t="s">
        <v>127</v>
      </c>
      <c r="C11">
        <f>'Detailed Marks'!L13</f>
        <v>64.5</v>
      </c>
      <c r="D11">
        <f>'Detailed Marks'!M13/60*100</f>
        <v>91.95</v>
      </c>
    </row>
    <row r="12" spans="1:5" x14ac:dyDescent="0.3">
      <c r="A12" t="s">
        <v>128</v>
      </c>
      <c r="B12" t="s">
        <v>129</v>
      </c>
      <c r="C12">
        <f>'Detailed Marks'!L14</f>
        <v>49</v>
      </c>
      <c r="D12">
        <f>'Detailed Marks'!M14/60*100</f>
        <v>88.816666666666663</v>
      </c>
    </row>
    <row r="13" spans="1:5" x14ac:dyDescent="0.3">
      <c r="A13" t="s">
        <v>130</v>
      </c>
      <c r="B13" t="s">
        <v>131</v>
      </c>
      <c r="C13">
        <f>'Detailed Marks'!L15</f>
        <v>47.5</v>
      </c>
      <c r="D13">
        <f>'Detailed Marks'!M15/60*100</f>
        <v>88.61666666666666</v>
      </c>
    </row>
    <row r="14" spans="1:5" x14ac:dyDescent="0.3">
      <c r="A14" t="s">
        <v>132</v>
      </c>
      <c r="B14" t="s">
        <v>133</v>
      </c>
      <c r="C14">
        <f>'Detailed Marks'!L16</f>
        <v>72.5</v>
      </c>
      <c r="D14">
        <f>'Detailed Marks'!M16/60*100</f>
        <v>85.51666666666668</v>
      </c>
    </row>
    <row r="15" spans="1:5" x14ac:dyDescent="0.3">
      <c r="A15" t="s">
        <v>134</v>
      </c>
      <c r="B15" t="s">
        <v>135</v>
      </c>
      <c r="C15">
        <f>'Detailed Marks'!L17</f>
        <v>44.5</v>
      </c>
      <c r="D15">
        <f>'Detailed Marks'!M17/60*100</f>
        <v>95.35</v>
      </c>
    </row>
    <row r="16" spans="1:5" x14ac:dyDescent="0.3">
      <c r="A16" t="s">
        <v>136</v>
      </c>
      <c r="B16" t="s">
        <v>137</v>
      </c>
      <c r="C16">
        <f>'Detailed Marks'!L18</f>
        <v>68</v>
      </c>
      <c r="D16">
        <f>'Detailed Marks'!M18/60*100</f>
        <v>83.166666666666671</v>
      </c>
    </row>
    <row r="17" spans="1:4" x14ac:dyDescent="0.3">
      <c r="A17" t="s">
        <v>138</v>
      </c>
      <c r="B17" t="s">
        <v>139</v>
      </c>
      <c r="C17">
        <f>'Detailed Marks'!L19</f>
        <v>56</v>
      </c>
      <c r="D17">
        <f>'Detailed Marks'!M19/60*100</f>
        <v>87.083333333333329</v>
      </c>
    </row>
    <row r="18" spans="1:4" x14ac:dyDescent="0.3">
      <c r="A18" t="s">
        <v>140</v>
      </c>
      <c r="B18" t="s">
        <v>141</v>
      </c>
      <c r="C18">
        <f>'Detailed Marks'!L20</f>
        <v>40.200000000000003</v>
      </c>
      <c r="D18">
        <f>'Detailed Marks'!M20/60*100</f>
        <v>89.033333333333331</v>
      </c>
    </row>
    <row r="19" spans="1:4" x14ac:dyDescent="0.3">
      <c r="A19" t="s">
        <v>142</v>
      </c>
      <c r="B19" t="s">
        <v>143</v>
      </c>
      <c r="C19">
        <f>'Detailed Marks'!L21</f>
        <v>71.5</v>
      </c>
      <c r="D19">
        <f>'Detailed Marks'!M21/60*100</f>
        <v>83.816666666666663</v>
      </c>
    </row>
    <row r="20" spans="1:4" x14ac:dyDescent="0.3">
      <c r="A20" t="s">
        <v>144</v>
      </c>
      <c r="B20" t="s">
        <v>145</v>
      </c>
      <c r="C20">
        <f>'Detailed Marks'!L22</f>
        <v>62.5</v>
      </c>
      <c r="D20">
        <f>'Detailed Marks'!M22/60*100</f>
        <v>83.466666666666669</v>
      </c>
    </row>
    <row r="21" spans="1:4" x14ac:dyDescent="0.3">
      <c r="A21" t="s">
        <v>146</v>
      </c>
      <c r="B21" t="s">
        <v>147</v>
      </c>
      <c r="C21">
        <f>'Detailed Marks'!L23</f>
        <v>36.5</v>
      </c>
      <c r="D21">
        <f>'Detailed Marks'!M23/60*100</f>
        <v>66.600000000000009</v>
      </c>
    </row>
    <row r="22" spans="1:4" x14ac:dyDescent="0.3">
      <c r="A22" t="s">
        <v>148</v>
      </c>
      <c r="B22" t="s">
        <v>149</v>
      </c>
      <c r="C22">
        <f>'Detailed Marks'!L24</f>
        <v>47</v>
      </c>
      <c r="D22">
        <f>'Detailed Marks'!M24/60*100</f>
        <v>83.416666666666657</v>
      </c>
    </row>
    <row r="23" spans="1:4" x14ac:dyDescent="0.3">
      <c r="A23" t="s">
        <v>150</v>
      </c>
      <c r="B23" t="s">
        <v>151</v>
      </c>
      <c r="C23">
        <f>'Detailed Marks'!L25</f>
        <v>38.5</v>
      </c>
      <c r="D23">
        <f>'Detailed Marks'!M25/60*100</f>
        <v>60.06666666666667</v>
      </c>
    </row>
    <row r="24" spans="1:4" x14ac:dyDescent="0.3">
      <c r="A24" t="s">
        <v>152</v>
      </c>
      <c r="B24" t="s">
        <v>153</v>
      </c>
      <c r="C24">
        <f>'Detailed Marks'!L26</f>
        <v>37</v>
      </c>
      <c r="D24">
        <f>'Detailed Marks'!M26/60*100</f>
        <v>59.716666666666661</v>
      </c>
    </row>
    <row r="25" spans="1:4" x14ac:dyDescent="0.3">
      <c r="A25" t="s">
        <v>154</v>
      </c>
      <c r="B25" t="s">
        <v>155</v>
      </c>
      <c r="C25">
        <f>'Detailed Marks'!L27</f>
        <v>68.5</v>
      </c>
      <c r="D25">
        <f>'Detailed Marks'!M27/60*100</f>
        <v>92.916666666666671</v>
      </c>
    </row>
    <row r="26" spans="1:4" x14ac:dyDescent="0.3">
      <c r="A26" t="s">
        <v>156</v>
      </c>
      <c r="B26" t="s">
        <v>157</v>
      </c>
      <c r="C26">
        <f>'Detailed Marks'!L28</f>
        <v>57.5</v>
      </c>
      <c r="D26">
        <f>'Detailed Marks'!M28/60*100</f>
        <v>84.583333333333329</v>
      </c>
    </row>
    <row r="27" spans="1:4" x14ac:dyDescent="0.3">
      <c r="A27" t="s">
        <v>158</v>
      </c>
      <c r="B27" t="s">
        <v>159</v>
      </c>
      <c r="C27">
        <f>'Detailed Marks'!L29</f>
        <v>54</v>
      </c>
      <c r="D27">
        <f>'Detailed Marks'!M29/60*100</f>
        <v>87.149999999999991</v>
      </c>
    </row>
    <row r="28" spans="1:4" x14ac:dyDescent="0.3">
      <c r="A28" t="s">
        <v>160</v>
      </c>
      <c r="B28" t="s">
        <v>161</v>
      </c>
      <c r="C28">
        <f>'Detailed Marks'!L30</f>
        <v>36.5</v>
      </c>
      <c r="D28">
        <f>'Detailed Marks'!M30/60*100</f>
        <v>70.899999999999991</v>
      </c>
    </row>
    <row r="29" spans="1:4" x14ac:dyDescent="0.3">
      <c r="A29" t="s">
        <v>162</v>
      </c>
      <c r="B29" t="s">
        <v>163</v>
      </c>
      <c r="C29">
        <f>'Detailed Marks'!L31</f>
        <v>47.5</v>
      </c>
      <c r="D29">
        <f>'Detailed Marks'!M31/60*100</f>
        <v>78.416666666666657</v>
      </c>
    </row>
    <row r="30" spans="1:4" x14ac:dyDescent="0.3">
      <c r="A30" t="s">
        <v>164</v>
      </c>
      <c r="B30" t="s">
        <v>165</v>
      </c>
      <c r="C30">
        <f>'Detailed Marks'!L32</f>
        <v>41.3</v>
      </c>
      <c r="D30">
        <f>'Detailed Marks'!M32/60*100</f>
        <v>71.666666666666671</v>
      </c>
    </row>
    <row r="31" spans="1:4" x14ac:dyDescent="0.3">
      <c r="A31" t="s">
        <v>166</v>
      </c>
      <c r="B31" t="s">
        <v>167</v>
      </c>
      <c r="C31">
        <f>'Detailed Marks'!L33</f>
        <v>52</v>
      </c>
      <c r="D31">
        <f>'Detailed Marks'!M33/60*100</f>
        <v>87.016666666666666</v>
      </c>
    </row>
    <row r="32" spans="1:4" x14ac:dyDescent="0.3">
      <c r="A32" t="s">
        <v>168</v>
      </c>
      <c r="B32" t="s">
        <v>169</v>
      </c>
      <c r="C32">
        <f>'Detailed Marks'!L34</f>
        <v>57</v>
      </c>
      <c r="D32">
        <f>'Detailed Marks'!M34/60*100</f>
        <v>90.416666666666671</v>
      </c>
    </row>
    <row r="33" spans="1:4" x14ac:dyDescent="0.3">
      <c r="A33" t="s">
        <v>170</v>
      </c>
      <c r="B33" t="s">
        <v>171</v>
      </c>
      <c r="C33">
        <f>'Detailed Marks'!L35</f>
        <v>68</v>
      </c>
      <c r="D33">
        <f>'Detailed Marks'!M35/60*100</f>
        <v>93.75</v>
      </c>
    </row>
    <row r="34" spans="1:4" x14ac:dyDescent="0.3">
      <c r="A34" t="s">
        <v>172</v>
      </c>
      <c r="B34" t="s">
        <v>173</v>
      </c>
      <c r="C34">
        <f>'Detailed Marks'!L36</f>
        <v>36.5</v>
      </c>
      <c r="D34">
        <f>'Detailed Marks'!M36/60*100</f>
        <v>62.916666666666664</v>
      </c>
    </row>
    <row r="35" spans="1:4" x14ac:dyDescent="0.3">
      <c r="A35" t="s">
        <v>174</v>
      </c>
      <c r="B35" t="s">
        <v>175</v>
      </c>
      <c r="C35">
        <f>'Detailed Marks'!L37</f>
        <v>68.5</v>
      </c>
      <c r="D35">
        <f>'Detailed Marks'!M37/60*100</f>
        <v>85.766666666666666</v>
      </c>
    </row>
    <row r="36" spans="1:4" x14ac:dyDescent="0.3">
      <c r="A36" t="s">
        <v>176</v>
      </c>
      <c r="B36" t="s">
        <v>177</v>
      </c>
      <c r="C36">
        <f>'Detailed Marks'!L38</f>
        <v>75.5</v>
      </c>
      <c r="D36">
        <f>'Detailed Marks'!M38/60*100</f>
        <v>97.983333333333334</v>
      </c>
    </row>
    <row r="37" spans="1:4" x14ac:dyDescent="0.3">
      <c r="A37" t="s">
        <v>178</v>
      </c>
      <c r="B37" t="s">
        <v>179</v>
      </c>
      <c r="C37">
        <f>'Detailed Marks'!L39</f>
        <v>68</v>
      </c>
      <c r="D37">
        <f>'Detailed Marks'!M39/60*100</f>
        <v>85.9</v>
      </c>
    </row>
    <row r="38" spans="1:4" x14ac:dyDescent="0.3">
      <c r="A38" t="s">
        <v>180</v>
      </c>
      <c r="B38" t="s">
        <v>181</v>
      </c>
      <c r="C38">
        <f>'Detailed Marks'!L40</f>
        <v>57.5</v>
      </c>
      <c r="D38">
        <f>'Detailed Marks'!M40/60*100</f>
        <v>82.300000000000011</v>
      </c>
    </row>
    <row r="39" spans="1:4" x14ac:dyDescent="0.3">
      <c r="A39" t="s">
        <v>182</v>
      </c>
      <c r="B39" t="s">
        <v>183</v>
      </c>
      <c r="C39">
        <f>'Detailed Marks'!L41</f>
        <v>70</v>
      </c>
      <c r="D39">
        <f>'Detailed Marks'!M41/60*100</f>
        <v>88.883333333333326</v>
      </c>
    </row>
    <row r="40" spans="1:4" x14ac:dyDescent="0.3">
      <c r="A40" t="s">
        <v>184</v>
      </c>
      <c r="B40" t="s">
        <v>185</v>
      </c>
      <c r="C40">
        <f>'Detailed Marks'!L42</f>
        <v>60.5</v>
      </c>
      <c r="D40">
        <f>'Detailed Marks'!M42/60*100</f>
        <v>92.366666666666674</v>
      </c>
    </row>
    <row r="41" spans="1:4" x14ac:dyDescent="0.3">
      <c r="A41" t="s">
        <v>186</v>
      </c>
      <c r="B41" t="s">
        <v>187</v>
      </c>
      <c r="C41">
        <f>'Detailed Marks'!L43</f>
        <v>67</v>
      </c>
      <c r="D41">
        <f>'Detailed Marks'!M43/60*100</f>
        <v>90</v>
      </c>
    </row>
    <row r="42" spans="1:4" x14ac:dyDescent="0.3">
      <c r="A42" t="s">
        <v>188</v>
      </c>
      <c r="B42" t="s">
        <v>189</v>
      </c>
      <c r="C42">
        <f>'Detailed Marks'!L44</f>
        <v>44</v>
      </c>
      <c r="D42">
        <f>'Detailed Marks'!M44/60*100</f>
        <v>86.6</v>
      </c>
    </row>
    <row r="43" spans="1:4" x14ac:dyDescent="0.3">
      <c r="A43" t="s">
        <v>190</v>
      </c>
      <c r="B43" t="s">
        <v>191</v>
      </c>
      <c r="C43">
        <f>'Detailed Marks'!L45</f>
        <v>58</v>
      </c>
      <c r="D43">
        <f>'Detailed Marks'!M45/60*100</f>
        <v>91.466666666666669</v>
      </c>
    </row>
    <row r="44" spans="1:4" x14ac:dyDescent="0.3">
      <c r="A44" t="s">
        <v>192</v>
      </c>
      <c r="B44" t="s">
        <v>193</v>
      </c>
      <c r="C44">
        <f>'Detailed Marks'!L46</f>
        <v>56.5</v>
      </c>
      <c r="D44">
        <f>'Detailed Marks'!M46/60*100</f>
        <v>94.65</v>
      </c>
    </row>
    <row r="45" spans="1:4" x14ac:dyDescent="0.3">
      <c r="A45" t="s">
        <v>194</v>
      </c>
      <c r="B45" t="s">
        <v>195</v>
      </c>
      <c r="C45">
        <f>'Detailed Marks'!L47</f>
        <v>65.5</v>
      </c>
      <c r="D45">
        <f>'Detailed Marks'!M47/60*100</f>
        <v>87.38333333333334</v>
      </c>
    </row>
    <row r="46" spans="1:4" x14ac:dyDescent="0.3">
      <c r="A46" t="s">
        <v>196</v>
      </c>
      <c r="B46" t="s">
        <v>197</v>
      </c>
      <c r="C46">
        <f>'Detailed Marks'!L48</f>
        <v>75.5</v>
      </c>
      <c r="D46">
        <f>'Detailed Marks'!M48/60*100</f>
        <v>90.833333333333329</v>
      </c>
    </row>
    <row r="47" spans="1:4" x14ac:dyDescent="0.3">
      <c r="A47" t="s">
        <v>198</v>
      </c>
      <c r="B47" t="s">
        <v>199</v>
      </c>
      <c r="C47">
        <f>'Detailed Marks'!L49</f>
        <v>44.5</v>
      </c>
      <c r="D47">
        <f>'Detailed Marks'!M49/60*100</f>
        <v>81.600000000000009</v>
      </c>
    </row>
    <row r="48" spans="1:4" x14ac:dyDescent="0.3">
      <c r="A48" t="s">
        <v>200</v>
      </c>
      <c r="B48" t="s">
        <v>201</v>
      </c>
      <c r="C48">
        <f>'Detailed Marks'!L50</f>
        <v>68</v>
      </c>
      <c r="D48">
        <f>'Detailed Marks'!M50/60*100</f>
        <v>89.750000000000014</v>
      </c>
    </row>
    <row r="49" spans="1:4" x14ac:dyDescent="0.3">
      <c r="A49" t="s">
        <v>202</v>
      </c>
      <c r="B49" t="s">
        <v>203</v>
      </c>
      <c r="C49">
        <f>'Detailed Marks'!L51</f>
        <v>63</v>
      </c>
      <c r="D49">
        <f>'Detailed Marks'!M51/60*100</f>
        <v>90.133333333333326</v>
      </c>
    </row>
    <row r="50" spans="1:4" x14ac:dyDescent="0.3">
      <c r="A50" t="s">
        <v>204</v>
      </c>
      <c r="B50" t="s">
        <v>205</v>
      </c>
      <c r="C50">
        <f>'Detailed Marks'!L52</f>
        <v>66</v>
      </c>
      <c r="D50">
        <f>'Detailed Marks'!M52/60*100</f>
        <v>87.716666666666683</v>
      </c>
    </row>
    <row r="51" spans="1:4" x14ac:dyDescent="0.3">
      <c r="A51" t="s">
        <v>206</v>
      </c>
      <c r="B51" t="s">
        <v>207</v>
      </c>
      <c r="C51">
        <f>'Detailed Marks'!L53</f>
        <v>44</v>
      </c>
      <c r="D51">
        <f>'Detailed Marks'!M53/60*100</f>
        <v>72.150000000000006</v>
      </c>
    </row>
    <row r="52" spans="1:4" x14ac:dyDescent="0.3">
      <c r="A52" t="s">
        <v>208</v>
      </c>
      <c r="B52" t="s">
        <v>209</v>
      </c>
      <c r="C52">
        <f>'Detailed Marks'!L54</f>
        <v>76</v>
      </c>
      <c r="D52">
        <f>'Detailed Marks'!M54/60*100</f>
        <v>90.166666666666671</v>
      </c>
    </row>
    <row r="53" spans="1:4" x14ac:dyDescent="0.3">
      <c r="A53" t="s">
        <v>210</v>
      </c>
      <c r="B53" t="s">
        <v>211</v>
      </c>
      <c r="C53">
        <f>'Detailed Marks'!L55</f>
        <v>35</v>
      </c>
      <c r="D53">
        <f>'Detailed Marks'!M55/60*100</f>
        <v>48.616666666666667</v>
      </c>
    </row>
    <row r="54" spans="1:4" x14ac:dyDescent="0.3">
      <c r="A54" t="s">
        <v>212</v>
      </c>
      <c r="B54" t="s">
        <v>213</v>
      </c>
      <c r="C54">
        <f>'Detailed Marks'!L56</f>
        <v>60.5</v>
      </c>
      <c r="D54">
        <f>'Detailed Marks'!M56/60*100</f>
        <v>76.25</v>
      </c>
    </row>
    <row r="55" spans="1:4" x14ac:dyDescent="0.3">
      <c r="A55" t="s">
        <v>214</v>
      </c>
      <c r="B55" t="s">
        <v>215</v>
      </c>
      <c r="C55">
        <f>'Detailed Marks'!L57</f>
        <v>75.8</v>
      </c>
      <c r="D55">
        <f>'Detailed Marks'!M57/60*100</f>
        <v>90.35</v>
      </c>
    </row>
    <row r="56" spans="1:4" x14ac:dyDescent="0.3">
      <c r="A56" t="s">
        <v>216</v>
      </c>
      <c r="B56" t="s">
        <v>217</v>
      </c>
      <c r="C56">
        <f>'Detailed Marks'!L58</f>
        <v>68.5</v>
      </c>
      <c r="D56">
        <f>'Detailed Marks'!M58/60*100</f>
        <v>83.616666666666674</v>
      </c>
    </row>
    <row r="57" spans="1:4" x14ac:dyDescent="0.3">
      <c r="A57" t="s">
        <v>218</v>
      </c>
      <c r="B57" t="s">
        <v>219</v>
      </c>
      <c r="C57">
        <f>'Detailed Marks'!L59</f>
        <v>53</v>
      </c>
      <c r="D57">
        <f>'Detailed Marks'!M59/60*100</f>
        <v>87.149999999999991</v>
      </c>
    </row>
    <row r="58" spans="1:4" x14ac:dyDescent="0.3">
      <c r="A58" t="s">
        <v>220</v>
      </c>
      <c r="B58" t="s">
        <v>221</v>
      </c>
      <c r="C58">
        <f>'Detailed Marks'!L60</f>
        <v>44.5</v>
      </c>
      <c r="D58">
        <f>'Detailed Marks'!M60/60*100</f>
        <v>64.8</v>
      </c>
    </row>
    <row r="59" spans="1:4" x14ac:dyDescent="0.3">
      <c r="A59" t="s">
        <v>222</v>
      </c>
      <c r="B59" t="s">
        <v>223</v>
      </c>
      <c r="C59">
        <f>'Detailed Marks'!L61</f>
        <v>61</v>
      </c>
      <c r="D59">
        <f>'Detailed Marks'!M61/60*100</f>
        <v>88.333333333333329</v>
      </c>
    </row>
    <row r="60" spans="1:4" x14ac:dyDescent="0.3">
      <c r="A60" t="s">
        <v>224</v>
      </c>
      <c r="B60" t="s">
        <v>225</v>
      </c>
      <c r="C60">
        <f>'Detailed Marks'!L62</f>
        <v>53.5</v>
      </c>
      <c r="D60">
        <f>'Detailed Marks'!M62/60*100</f>
        <v>86.88333333333334</v>
      </c>
    </row>
    <row r="61" spans="1:4" x14ac:dyDescent="0.3">
      <c r="A61" t="s">
        <v>226</v>
      </c>
      <c r="B61" t="s">
        <v>227</v>
      </c>
      <c r="C61">
        <f>'Detailed Marks'!L63</f>
        <v>62.5</v>
      </c>
      <c r="D61">
        <f>'Detailed Marks'!M63/60*100</f>
        <v>80</v>
      </c>
    </row>
    <row r="62" spans="1:4" x14ac:dyDescent="0.3">
      <c r="A62" t="s">
        <v>228</v>
      </c>
      <c r="B62" t="s">
        <v>229</v>
      </c>
      <c r="C62">
        <f>'Detailed Marks'!L64</f>
        <v>58</v>
      </c>
      <c r="D62">
        <f>'Detailed Marks'!M64/60*100</f>
        <v>89.8</v>
      </c>
    </row>
    <row r="63" spans="1:4" x14ac:dyDescent="0.3">
      <c r="A63" t="s">
        <v>230</v>
      </c>
      <c r="B63" t="s">
        <v>231</v>
      </c>
      <c r="C63">
        <f>'Detailed Marks'!L65</f>
        <v>54.5</v>
      </c>
      <c r="D63">
        <f>'Detailed Marks'!M65/60*100</f>
        <v>80.483333333333334</v>
      </c>
    </row>
    <row r="64" spans="1:4" x14ac:dyDescent="0.3">
      <c r="A64" t="s">
        <v>232</v>
      </c>
      <c r="B64" t="s">
        <v>233</v>
      </c>
      <c r="C64">
        <f>'Detailed Marks'!L66</f>
        <v>44.5</v>
      </c>
      <c r="D64">
        <f>'Detailed Marks'!M66/60*100</f>
        <v>76.75</v>
      </c>
    </row>
    <row r="65" spans="1:4" x14ac:dyDescent="0.3">
      <c r="A65" t="s">
        <v>234</v>
      </c>
      <c r="B65" t="s">
        <v>235</v>
      </c>
      <c r="C65">
        <f>'Detailed Marks'!L67</f>
        <v>62</v>
      </c>
      <c r="D65">
        <f>'Detailed Marks'!M67/60*100</f>
        <v>87.083333333333329</v>
      </c>
    </row>
    <row r="66" spans="1:4" x14ac:dyDescent="0.3">
      <c r="A66" t="s">
        <v>236</v>
      </c>
      <c r="B66" t="s">
        <v>237</v>
      </c>
      <c r="C66">
        <f>'Detailed Marks'!L68</f>
        <v>73.099999999999994</v>
      </c>
      <c r="D66">
        <f>'Detailed Marks'!M68/60*100</f>
        <v>92.15</v>
      </c>
    </row>
    <row r="67" spans="1:4" x14ac:dyDescent="0.3">
      <c r="A67" t="s">
        <v>238</v>
      </c>
      <c r="B67" t="s">
        <v>239</v>
      </c>
      <c r="C67">
        <f>'Detailed Marks'!L69</f>
        <v>38.5</v>
      </c>
      <c r="D67">
        <f>'Detailed Marks'!M69/60*100</f>
        <v>84.23333333333332</v>
      </c>
    </row>
    <row r="68" spans="1:4" x14ac:dyDescent="0.3">
      <c r="A68" t="s">
        <v>240</v>
      </c>
      <c r="B68" t="s">
        <v>241</v>
      </c>
      <c r="C68">
        <f>'Detailed Marks'!L70</f>
        <v>65.5</v>
      </c>
      <c r="D68">
        <f>'Detailed Marks'!M70/60*100</f>
        <v>75</v>
      </c>
    </row>
    <row r="69" spans="1:4" x14ac:dyDescent="0.3">
      <c r="A69" t="s">
        <v>242</v>
      </c>
      <c r="B69" t="s">
        <v>243</v>
      </c>
      <c r="C69">
        <f>'Detailed Marks'!L71</f>
        <v>49.5</v>
      </c>
      <c r="D69">
        <f>'Detailed Marks'!M71/60*100</f>
        <v>80.416666666666671</v>
      </c>
    </row>
    <row r="70" spans="1:4" x14ac:dyDescent="0.3">
      <c r="A70" t="s">
        <v>244</v>
      </c>
      <c r="B70" t="s">
        <v>245</v>
      </c>
      <c r="C70">
        <f>'Detailed Marks'!L72</f>
        <v>40</v>
      </c>
      <c r="D70">
        <f>'Detailed Marks'!M72/60*100</f>
        <v>79.800000000000011</v>
      </c>
    </row>
    <row r="71" spans="1:4" x14ac:dyDescent="0.3">
      <c r="A71" t="s">
        <v>246</v>
      </c>
      <c r="B71" t="s">
        <v>247</v>
      </c>
      <c r="C71">
        <f>'Detailed Marks'!L73</f>
        <v>51</v>
      </c>
      <c r="D71">
        <f>'Detailed Marks'!M73/60*100</f>
        <v>84.583333333333329</v>
      </c>
    </row>
    <row r="72" spans="1:4" x14ac:dyDescent="0.3">
      <c r="A72" t="s">
        <v>248</v>
      </c>
      <c r="B72" t="s">
        <v>249</v>
      </c>
      <c r="C72">
        <f>'Detailed Marks'!L74</f>
        <v>62</v>
      </c>
      <c r="D72">
        <f>'Detailed Marks'!M74/60*100</f>
        <v>82.85</v>
      </c>
    </row>
    <row r="73" spans="1:4" x14ac:dyDescent="0.3">
      <c r="A73" t="s">
        <v>250</v>
      </c>
      <c r="B73" t="s">
        <v>251</v>
      </c>
      <c r="C73">
        <f>'Detailed Marks'!L75</f>
        <v>37.5</v>
      </c>
      <c r="D73">
        <f>'Detailed Marks'!M75/60*100</f>
        <v>76.25</v>
      </c>
    </row>
    <row r="74" spans="1:4" x14ac:dyDescent="0.3">
      <c r="A74" t="s">
        <v>252</v>
      </c>
      <c r="B74" t="s">
        <v>253</v>
      </c>
      <c r="C74">
        <f>'Detailed Marks'!L76</f>
        <v>72.5</v>
      </c>
      <c r="D74">
        <f>'Detailed Marks'!M76/60*100</f>
        <v>81.25</v>
      </c>
    </row>
    <row r="75" spans="1:4" x14ac:dyDescent="0.3">
      <c r="A75" t="s">
        <v>254</v>
      </c>
      <c r="B75" t="s">
        <v>255</v>
      </c>
      <c r="C75">
        <f>'Detailed Marks'!L77</f>
        <v>42.5</v>
      </c>
      <c r="D75">
        <f>'Detailed Marks'!M77/60*100</f>
        <v>80.316666666666663</v>
      </c>
    </row>
    <row r="76" spans="1:4" x14ac:dyDescent="0.3">
      <c r="A76" t="s">
        <v>256</v>
      </c>
      <c r="B76" t="s">
        <v>257</v>
      </c>
      <c r="C76">
        <f>'Detailed Marks'!L78</f>
        <v>54.5</v>
      </c>
      <c r="D76">
        <f>'Detailed Marks'!M78/60*100</f>
        <v>91.733333333333334</v>
      </c>
    </row>
    <row r="77" spans="1:4" x14ac:dyDescent="0.3">
      <c r="A77" t="s">
        <v>258</v>
      </c>
      <c r="B77" t="s">
        <v>259</v>
      </c>
      <c r="C77">
        <f>'Detailed Marks'!L79</f>
        <v>50</v>
      </c>
      <c r="D77">
        <f>'Detailed Marks'!M79/60*100</f>
        <v>77.3</v>
      </c>
    </row>
    <row r="78" spans="1:4" x14ac:dyDescent="0.3">
      <c r="A78" t="s">
        <v>260</v>
      </c>
      <c r="B78" t="s">
        <v>261</v>
      </c>
      <c r="C78">
        <f>'Detailed Marks'!L80</f>
        <v>52.5</v>
      </c>
      <c r="D78">
        <f>'Detailed Marks'!M80/60*100</f>
        <v>83.883333333333326</v>
      </c>
    </row>
    <row r="79" spans="1:4" x14ac:dyDescent="0.3">
      <c r="A79" t="s">
        <v>262</v>
      </c>
      <c r="B79" t="s">
        <v>263</v>
      </c>
      <c r="C79">
        <f>'Detailed Marks'!L81</f>
        <v>81.5</v>
      </c>
      <c r="D79">
        <f>'Detailed Marks'!M81/60*100</f>
        <v>88.966666666666669</v>
      </c>
    </row>
    <row r="80" spans="1:4" x14ac:dyDescent="0.3">
      <c r="A80" t="s">
        <v>264</v>
      </c>
      <c r="B80" t="s">
        <v>265</v>
      </c>
      <c r="C80">
        <f>'Detailed Marks'!L82</f>
        <v>51.5</v>
      </c>
      <c r="D80">
        <f>'Detailed Marks'!M82/60*100</f>
        <v>82.183333333333337</v>
      </c>
    </row>
    <row r="81" spans="1:4" x14ac:dyDescent="0.3">
      <c r="A81" t="s">
        <v>266</v>
      </c>
      <c r="B81" t="s">
        <v>267</v>
      </c>
      <c r="C81">
        <f>'Detailed Marks'!L83</f>
        <v>38.5</v>
      </c>
      <c r="D81">
        <f>'Detailed Marks'!M83/60*100</f>
        <v>72.566666666666663</v>
      </c>
    </row>
    <row r="82" spans="1:4" x14ac:dyDescent="0.3">
      <c r="A82" t="s">
        <v>268</v>
      </c>
      <c r="B82" t="s">
        <v>269</v>
      </c>
      <c r="C82">
        <f>'Detailed Marks'!L84</f>
        <v>73</v>
      </c>
      <c r="D82">
        <f>'Detailed Marks'!M84/60*100</f>
        <v>92.699999999999989</v>
      </c>
    </row>
    <row r="83" spans="1:4" x14ac:dyDescent="0.3">
      <c r="A83" t="s">
        <v>270</v>
      </c>
      <c r="B83" t="s">
        <v>271</v>
      </c>
      <c r="C83">
        <f>'Detailed Marks'!L85</f>
        <v>67</v>
      </c>
      <c r="D83">
        <f>'Detailed Marks'!M85/60*100</f>
        <v>80.650000000000006</v>
      </c>
    </row>
    <row r="84" spans="1:4" x14ac:dyDescent="0.3">
      <c r="A84" t="s">
        <v>272</v>
      </c>
      <c r="B84" t="s">
        <v>273</v>
      </c>
      <c r="C84">
        <f>'Detailed Marks'!L86</f>
        <v>53.5</v>
      </c>
      <c r="D84">
        <f>'Detailed Marks'!M86/60*100</f>
        <v>80.383333333333326</v>
      </c>
    </row>
    <row r="85" spans="1:4" x14ac:dyDescent="0.3">
      <c r="A85" t="s">
        <v>274</v>
      </c>
      <c r="B85" t="s">
        <v>275</v>
      </c>
      <c r="C85">
        <f>'Detailed Marks'!L87</f>
        <v>73</v>
      </c>
      <c r="D85">
        <f>'Detailed Marks'!M87/60*100</f>
        <v>89.583333333333343</v>
      </c>
    </row>
    <row r="86" spans="1:4" x14ac:dyDescent="0.3">
      <c r="A86" t="s">
        <v>276</v>
      </c>
      <c r="B86" t="s">
        <v>277</v>
      </c>
      <c r="C86">
        <f>'Detailed Marks'!L88</f>
        <v>75.5</v>
      </c>
      <c r="D86">
        <f>'Detailed Marks'!M88/60*100</f>
        <v>89.45</v>
      </c>
    </row>
    <row r="87" spans="1:4" x14ac:dyDescent="0.3">
      <c r="A87" t="s">
        <v>278</v>
      </c>
      <c r="B87" t="s">
        <v>279</v>
      </c>
      <c r="C87">
        <f>'Detailed Marks'!L89</f>
        <v>56.5</v>
      </c>
      <c r="D87">
        <f>'Detailed Marks'!M89/60*100</f>
        <v>80.7</v>
      </c>
    </row>
    <row r="88" spans="1:4" x14ac:dyDescent="0.3">
      <c r="A88" t="s">
        <v>280</v>
      </c>
      <c r="B88" t="s">
        <v>281</v>
      </c>
      <c r="C88">
        <f>'Detailed Marks'!L90</f>
        <v>56.5</v>
      </c>
      <c r="D88">
        <f>'Detailed Marks'!M90/60*100</f>
        <v>75.416666666666671</v>
      </c>
    </row>
    <row r="89" spans="1:4" x14ac:dyDescent="0.3">
      <c r="A89" t="s">
        <v>282</v>
      </c>
      <c r="B89" t="s">
        <v>283</v>
      </c>
      <c r="C89">
        <f>'Detailed Marks'!L91</f>
        <v>75</v>
      </c>
      <c r="D89">
        <f>'Detailed Marks'!M91/60*100</f>
        <v>92.983333333333334</v>
      </c>
    </row>
    <row r="90" spans="1:4" x14ac:dyDescent="0.3">
      <c r="A90" t="s">
        <v>284</v>
      </c>
      <c r="B90" t="s">
        <v>285</v>
      </c>
      <c r="C90">
        <f>'Detailed Marks'!L92</f>
        <v>68.5</v>
      </c>
      <c r="D90">
        <f>'Detailed Marks'!M92/60*100</f>
        <v>84.1</v>
      </c>
    </row>
    <row r="91" spans="1:4" x14ac:dyDescent="0.3">
      <c r="A91" t="s">
        <v>103</v>
      </c>
      <c r="B91" t="s">
        <v>104</v>
      </c>
      <c r="C91">
        <f>'Detailed Marks'!L93</f>
        <v>62</v>
      </c>
      <c r="D91">
        <f>'Detailed Marks'!M93/60*100</f>
        <v>77.149999999999991</v>
      </c>
    </row>
    <row r="92" spans="1:4" x14ac:dyDescent="0.3">
      <c r="A92" t="s">
        <v>286</v>
      </c>
      <c r="B92" t="s">
        <v>287</v>
      </c>
      <c r="C92">
        <f>'Detailed Marks'!L94</f>
        <v>66.5</v>
      </c>
      <c r="D92">
        <f>'Detailed Marks'!M94/60*100</f>
        <v>84.3</v>
      </c>
    </row>
    <row r="93" spans="1:4" x14ac:dyDescent="0.3">
      <c r="A93" t="s">
        <v>288</v>
      </c>
      <c r="B93" t="s">
        <v>289</v>
      </c>
      <c r="C93">
        <f>'Detailed Marks'!L95</f>
        <v>79</v>
      </c>
      <c r="D93">
        <f>'Detailed Marks'!M95/60*100</f>
        <v>95.833333333333343</v>
      </c>
    </row>
    <row r="94" spans="1:4" x14ac:dyDescent="0.3">
      <c r="A94" t="s">
        <v>290</v>
      </c>
      <c r="B94" t="s">
        <v>291</v>
      </c>
      <c r="C94">
        <f>'Detailed Marks'!L96</f>
        <v>44</v>
      </c>
      <c r="D94">
        <f>'Detailed Marks'!M96/60*100</f>
        <v>76.11666666666666</v>
      </c>
    </row>
    <row r="95" spans="1:4" x14ac:dyDescent="0.3">
      <c r="A95" t="s">
        <v>292</v>
      </c>
      <c r="B95" t="s">
        <v>293</v>
      </c>
      <c r="C95">
        <f>'Detailed Marks'!L97</f>
        <v>59.5</v>
      </c>
      <c r="D95">
        <f>'Detailed Marks'!M97/60*100</f>
        <v>83.55</v>
      </c>
    </row>
    <row r="96" spans="1:4" x14ac:dyDescent="0.3">
      <c r="A96" t="s">
        <v>294</v>
      </c>
      <c r="B96" t="s">
        <v>295</v>
      </c>
      <c r="C96">
        <f>'Detailed Marks'!L98</f>
        <v>68.5</v>
      </c>
      <c r="D96">
        <f>'Detailed Marks'!M98/60*100</f>
        <v>89.583333333333343</v>
      </c>
    </row>
    <row r="97" spans="1:4" x14ac:dyDescent="0.3">
      <c r="A97" t="s">
        <v>296</v>
      </c>
      <c r="B97" t="s">
        <v>297</v>
      </c>
      <c r="C97">
        <f>'Detailed Marks'!L99</f>
        <v>53.1</v>
      </c>
      <c r="D97">
        <f>'Detailed Marks'!M99/60*100</f>
        <v>88.816666666666663</v>
      </c>
    </row>
    <row r="98" spans="1:4" x14ac:dyDescent="0.3">
      <c r="A98" t="s">
        <v>298</v>
      </c>
      <c r="B98" t="s">
        <v>299</v>
      </c>
      <c r="C98">
        <f>'Detailed Marks'!L100</f>
        <v>48</v>
      </c>
      <c r="D98">
        <f>'Detailed Marks'!M100/60*100</f>
        <v>78.550000000000011</v>
      </c>
    </row>
    <row r="99" spans="1:4" x14ac:dyDescent="0.3">
      <c r="A99" t="s">
        <v>300</v>
      </c>
      <c r="B99" t="s">
        <v>301</v>
      </c>
      <c r="C99">
        <f>'Detailed Marks'!L101</f>
        <v>63</v>
      </c>
      <c r="D99">
        <f>'Detailed Marks'!M101/60*100</f>
        <v>92.15</v>
      </c>
    </row>
    <row r="100" spans="1:4" x14ac:dyDescent="0.3">
      <c r="A100" t="s">
        <v>302</v>
      </c>
      <c r="B100" t="s">
        <v>303</v>
      </c>
      <c r="C100">
        <f>'Detailed Marks'!L102</f>
        <v>54</v>
      </c>
      <c r="D100">
        <f>'Detailed Marks'!M102/60*100</f>
        <v>84.716666666666669</v>
      </c>
    </row>
    <row r="101" spans="1:4" x14ac:dyDescent="0.3">
      <c r="A101" t="s">
        <v>304</v>
      </c>
      <c r="B101" t="s">
        <v>305</v>
      </c>
      <c r="C101">
        <f>'Detailed Marks'!L103</f>
        <v>82</v>
      </c>
      <c r="D101">
        <f>'Detailed Marks'!M103/60*100</f>
        <v>89.716666666666669</v>
      </c>
    </row>
    <row r="102" spans="1:4" x14ac:dyDescent="0.3">
      <c r="A102" t="s">
        <v>306</v>
      </c>
      <c r="B102" t="s">
        <v>307</v>
      </c>
      <c r="C102">
        <f>'Detailed Marks'!L104</f>
        <v>59</v>
      </c>
      <c r="D102">
        <f>'Detailed Marks'!M104/60*100</f>
        <v>89.38333333333334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3E4C-A02A-4209-B621-24C42A1E49E2}">
  <dimension ref="A1:T755"/>
  <sheetViews>
    <sheetView zoomScale="120" zoomScaleNormal="120" workbookViewId="0">
      <selection activeCell="U3" sqref="U3"/>
    </sheetView>
  </sheetViews>
  <sheetFormatPr defaultColWidth="12.6640625" defaultRowHeight="15" customHeight="1" x14ac:dyDescent="0.3"/>
  <cols>
    <col min="1" max="1" width="8.6640625" style="3" customWidth="1"/>
    <col min="2" max="2" width="28.77734375" style="3" customWidth="1"/>
    <col min="3" max="18" width="4.77734375" style="3" customWidth="1"/>
    <col min="19" max="19" width="5.77734375" style="3" customWidth="1"/>
    <col min="20" max="32" width="8.6640625" style="3" customWidth="1"/>
    <col min="33" max="16384" width="12.6640625" style="3"/>
  </cols>
  <sheetData>
    <row r="1" spans="1:20" ht="19.5" customHeight="1" x14ac:dyDescent="0.3">
      <c r="A1" s="1" t="s">
        <v>70</v>
      </c>
      <c r="B1" s="46"/>
      <c r="C1" s="1" t="s">
        <v>71</v>
      </c>
    </row>
    <row r="2" spans="1:20" ht="25.5" customHeight="1" x14ac:dyDescent="0.3">
      <c r="A2" s="54" t="s">
        <v>47</v>
      </c>
      <c r="B2" s="54" t="s">
        <v>1</v>
      </c>
      <c r="C2" s="55"/>
      <c r="D2" s="55"/>
      <c r="E2" s="56" t="s">
        <v>67</v>
      </c>
      <c r="F2" s="56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7"/>
      <c r="S2" s="58" t="s">
        <v>68</v>
      </c>
      <c r="T2" s="3" t="s">
        <v>93</v>
      </c>
    </row>
    <row r="3" spans="1:20" ht="19.5" customHeight="1" x14ac:dyDescent="0.3">
      <c r="A3" s="65"/>
      <c r="B3" s="66"/>
      <c r="C3" s="71" t="s">
        <v>81</v>
      </c>
      <c r="D3" s="72" t="s">
        <v>82</v>
      </c>
      <c r="E3" s="72" t="s">
        <v>83</v>
      </c>
      <c r="F3" s="71" t="s">
        <v>94</v>
      </c>
      <c r="G3" s="71" t="s">
        <v>84</v>
      </c>
      <c r="H3" s="72" t="s">
        <v>85</v>
      </c>
      <c r="I3" s="72" t="s">
        <v>86</v>
      </c>
      <c r="J3" s="71" t="s">
        <v>95</v>
      </c>
      <c r="K3" s="71" t="s">
        <v>87</v>
      </c>
      <c r="L3" s="72" t="s">
        <v>88</v>
      </c>
      <c r="M3" s="72" t="s">
        <v>89</v>
      </c>
      <c r="N3" s="71" t="s">
        <v>96</v>
      </c>
      <c r="O3" s="71" t="s">
        <v>90</v>
      </c>
      <c r="P3" s="72" t="s">
        <v>91</v>
      </c>
      <c r="Q3" s="72" t="s">
        <v>92</v>
      </c>
      <c r="R3" s="75" t="s">
        <v>97</v>
      </c>
      <c r="S3" s="61">
        <v>1</v>
      </c>
    </row>
    <row r="4" spans="1:20" ht="19.5" customHeight="1" x14ac:dyDescent="0.3">
      <c r="A4" s="67" t="str">
        <f>'Detailed Marks'!A4</f>
        <v>200370K</v>
      </c>
      <c r="B4" s="67" t="str">
        <f>'Detailed Marks'!B4</f>
        <v>MADUWANTHA L.H.H.</v>
      </c>
      <c r="C4" s="73">
        <v>3</v>
      </c>
      <c r="D4" s="73">
        <v>3</v>
      </c>
      <c r="E4" s="73">
        <v>8</v>
      </c>
      <c r="F4" s="73">
        <v>5</v>
      </c>
      <c r="G4" s="70">
        <v>9</v>
      </c>
      <c r="H4" s="73">
        <v>4</v>
      </c>
      <c r="I4" s="73">
        <v>3</v>
      </c>
      <c r="J4" s="73">
        <v>4</v>
      </c>
      <c r="K4" s="73">
        <v>1</v>
      </c>
      <c r="L4" s="73">
        <v>4</v>
      </c>
      <c r="M4" s="73">
        <v>1</v>
      </c>
      <c r="N4" s="73">
        <v>1</v>
      </c>
      <c r="O4" s="73">
        <v>5</v>
      </c>
      <c r="P4" s="73">
        <v>2</v>
      </c>
      <c r="Q4" s="73">
        <v>1</v>
      </c>
      <c r="R4" s="73">
        <v>0</v>
      </c>
      <c r="S4" s="64">
        <f t="shared" ref="S4:S13" si="0">SUM(C4:R4)</f>
        <v>54</v>
      </c>
      <c r="T4" s="3">
        <f>'Detailed Marks'!L4</f>
        <v>66.5</v>
      </c>
    </row>
    <row r="5" spans="1:20" ht="19.5" customHeight="1" x14ac:dyDescent="0.3">
      <c r="A5" s="67" t="str">
        <f>'Detailed Marks'!A5</f>
        <v>210003B</v>
      </c>
      <c r="B5" s="67" t="str">
        <f>'Detailed Marks'!B5</f>
        <v>ABEWICKREMA A.S.J.</v>
      </c>
      <c r="C5" s="73">
        <v>2</v>
      </c>
      <c r="D5" s="73">
        <v>4</v>
      </c>
      <c r="E5" s="73">
        <v>8</v>
      </c>
      <c r="F5" s="73">
        <v>6</v>
      </c>
      <c r="G5" s="70">
        <v>8</v>
      </c>
      <c r="H5" s="73">
        <v>1</v>
      </c>
      <c r="I5" s="73">
        <v>2</v>
      </c>
      <c r="J5" s="73">
        <v>2</v>
      </c>
      <c r="K5" s="73">
        <v>0</v>
      </c>
      <c r="L5" s="73">
        <v>8</v>
      </c>
      <c r="M5" s="73">
        <v>0</v>
      </c>
      <c r="N5" s="73">
        <v>0</v>
      </c>
      <c r="O5" s="73">
        <v>3</v>
      </c>
      <c r="P5" s="73">
        <v>2</v>
      </c>
      <c r="Q5" s="73">
        <v>0</v>
      </c>
      <c r="R5" s="73">
        <v>0</v>
      </c>
      <c r="S5" s="64">
        <f t="shared" si="0"/>
        <v>46</v>
      </c>
      <c r="T5" s="3">
        <f>'Detailed Marks'!L5</f>
        <v>58.5</v>
      </c>
    </row>
    <row r="6" spans="1:20" ht="19.5" customHeight="1" x14ac:dyDescent="0.3">
      <c r="A6" s="67" t="str">
        <f>'Detailed Marks'!A6</f>
        <v>210005H</v>
      </c>
      <c r="B6" s="67" t="str">
        <f>'Detailed Marks'!B6</f>
        <v>ABEYRATHNA S.M.S.M.B.</v>
      </c>
      <c r="C6" s="73">
        <v>3.5</v>
      </c>
      <c r="D6" s="73">
        <v>0</v>
      </c>
      <c r="E6" s="73">
        <v>3</v>
      </c>
      <c r="F6" s="73">
        <v>6</v>
      </c>
      <c r="G6" s="70">
        <v>5</v>
      </c>
      <c r="H6" s="73">
        <v>1</v>
      </c>
      <c r="I6" s="73">
        <v>2</v>
      </c>
      <c r="J6" s="73">
        <v>3</v>
      </c>
      <c r="K6" s="73">
        <v>2</v>
      </c>
      <c r="L6" s="73">
        <v>8</v>
      </c>
      <c r="M6" s="73">
        <v>1</v>
      </c>
      <c r="N6" s="73">
        <v>0</v>
      </c>
      <c r="O6" s="73">
        <v>1</v>
      </c>
      <c r="P6" s="73">
        <v>3</v>
      </c>
      <c r="Q6" s="73">
        <v>0</v>
      </c>
      <c r="R6" s="73">
        <v>0</v>
      </c>
      <c r="S6" s="64">
        <f t="shared" si="0"/>
        <v>38.5</v>
      </c>
      <c r="T6" s="3">
        <f>'Detailed Marks'!L6</f>
        <v>51</v>
      </c>
    </row>
    <row r="7" spans="1:20" ht="19.5" customHeight="1" x14ac:dyDescent="0.3">
      <c r="A7" s="67" t="str">
        <f>'Detailed Marks'!A7</f>
        <v>210014J</v>
      </c>
      <c r="B7" s="67" t="str">
        <f>'Detailed Marks'!B7</f>
        <v>ABEYWARDANA K.D.W.</v>
      </c>
      <c r="C7" s="73">
        <v>3</v>
      </c>
      <c r="D7" s="73">
        <v>3</v>
      </c>
      <c r="E7" s="73">
        <v>4</v>
      </c>
      <c r="F7" s="73">
        <v>4</v>
      </c>
      <c r="G7" s="70">
        <v>1</v>
      </c>
      <c r="H7" s="73">
        <v>5</v>
      </c>
      <c r="I7" s="73">
        <v>2</v>
      </c>
      <c r="J7" s="73">
        <v>2</v>
      </c>
      <c r="K7" s="73">
        <v>3</v>
      </c>
      <c r="L7" s="73">
        <v>0</v>
      </c>
      <c r="M7" s="73">
        <v>1</v>
      </c>
      <c r="N7" s="73">
        <v>2</v>
      </c>
      <c r="O7" s="73">
        <v>3</v>
      </c>
      <c r="P7" s="73">
        <v>5</v>
      </c>
      <c r="Q7" s="73">
        <v>3</v>
      </c>
      <c r="R7" s="73">
        <v>3</v>
      </c>
      <c r="S7" s="64">
        <f t="shared" si="0"/>
        <v>44</v>
      </c>
      <c r="T7" s="3">
        <f>'Detailed Marks'!L7</f>
        <v>56.5</v>
      </c>
    </row>
    <row r="8" spans="1:20" ht="19.5" customHeight="1" x14ac:dyDescent="0.3">
      <c r="A8" s="67" t="str">
        <f>'Detailed Marks'!A8</f>
        <v>210019E</v>
      </c>
      <c r="B8" s="67" t="str">
        <f>'Detailed Marks'!B8</f>
        <v>ABITHAN A.</v>
      </c>
      <c r="C8" s="73">
        <v>0.5</v>
      </c>
      <c r="D8" s="73">
        <v>0</v>
      </c>
      <c r="E8" s="73">
        <v>4</v>
      </c>
      <c r="F8" s="73">
        <v>4</v>
      </c>
      <c r="G8" s="70">
        <v>4</v>
      </c>
      <c r="H8" s="73">
        <v>2</v>
      </c>
      <c r="I8" s="73">
        <v>2</v>
      </c>
      <c r="J8" s="73">
        <v>3</v>
      </c>
      <c r="K8" s="73">
        <v>1</v>
      </c>
      <c r="L8" s="73">
        <v>2</v>
      </c>
      <c r="M8" s="73">
        <v>0</v>
      </c>
      <c r="N8" s="73">
        <v>1</v>
      </c>
      <c r="O8" s="73">
        <v>2</v>
      </c>
      <c r="P8" s="73">
        <v>3</v>
      </c>
      <c r="Q8" s="73">
        <v>1</v>
      </c>
      <c r="R8" s="73">
        <v>0</v>
      </c>
      <c r="S8" s="64">
        <f t="shared" si="0"/>
        <v>29.5</v>
      </c>
      <c r="T8" s="3">
        <f>'Detailed Marks'!L8</f>
        <v>42</v>
      </c>
    </row>
    <row r="9" spans="1:20" ht="19.5" customHeight="1" x14ac:dyDescent="0.3">
      <c r="A9" s="67" t="str">
        <f>'Detailed Marks'!A9</f>
        <v>210021D</v>
      </c>
      <c r="B9" s="67" t="str">
        <f>'Detailed Marks'!B9</f>
        <v>ADIKARAM W.K.D.N.E.</v>
      </c>
      <c r="C9" s="73">
        <v>3</v>
      </c>
      <c r="D9" s="73">
        <v>2</v>
      </c>
      <c r="E9" s="73">
        <v>3</v>
      </c>
      <c r="F9" s="73">
        <v>4</v>
      </c>
      <c r="G9" s="70">
        <v>0</v>
      </c>
      <c r="H9" s="73">
        <v>3</v>
      </c>
      <c r="I9" s="73">
        <v>0</v>
      </c>
      <c r="J9" s="73">
        <v>2</v>
      </c>
      <c r="K9" s="73">
        <v>4</v>
      </c>
      <c r="L9" s="73">
        <v>0</v>
      </c>
      <c r="M9" s="73">
        <v>2</v>
      </c>
      <c r="N9" s="73">
        <v>2</v>
      </c>
      <c r="O9" s="73">
        <v>3</v>
      </c>
      <c r="P9" s="73">
        <v>2</v>
      </c>
      <c r="Q9" s="73">
        <v>1</v>
      </c>
      <c r="R9" s="73">
        <v>0</v>
      </c>
      <c r="S9" s="64">
        <f t="shared" si="0"/>
        <v>31</v>
      </c>
      <c r="T9" s="3">
        <f>'Detailed Marks'!L9</f>
        <v>43.5</v>
      </c>
    </row>
    <row r="10" spans="1:20" ht="19.5" customHeight="1" x14ac:dyDescent="0.3">
      <c r="A10" s="67" t="str">
        <f>'Detailed Marks'!A10</f>
        <v>210022G</v>
      </c>
      <c r="B10" s="67" t="str">
        <f>'Detailed Marks'!B10</f>
        <v>ADIKARI A.A.S.D.</v>
      </c>
      <c r="C10" s="73">
        <v>1.5</v>
      </c>
      <c r="D10" s="73">
        <v>5</v>
      </c>
      <c r="E10" s="73">
        <v>7</v>
      </c>
      <c r="F10" s="73">
        <v>4</v>
      </c>
      <c r="G10" s="70">
        <v>9</v>
      </c>
      <c r="H10" s="73">
        <v>6</v>
      </c>
      <c r="I10" s="73">
        <v>3</v>
      </c>
      <c r="J10" s="73">
        <v>3</v>
      </c>
      <c r="K10" s="73">
        <v>4</v>
      </c>
      <c r="L10" s="73">
        <v>6</v>
      </c>
      <c r="M10" s="73">
        <v>2</v>
      </c>
      <c r="N10" s="73">
        <v>2</v>
      </c>
      <c r="O10" s="73">
        <v>2</v>
      </c>
      <c r="P10" s="73">
        <v>2</v>
      </c>
      <c r="Q10" s="73">
        <v>3</v>
      </c>
      <c r="R10" s="73">
        <v>1</v>
      </c>
      <c r="S10" s="64">
        <f t="shared" si="0"/>
        <v>60.5</v>
      </c>
      <c r="T10" s="3">
        <f>'Detailed Marks'!L10</f>
        <v>73</v>
      </c>
    </row>
    <row r="11" spans="1:20" ht="19.5" customHeight="1" x14ac:dyDescent="0.3">
      <c r="A11" s="67" t="str">
        <f>'Detailed Marks'!A11</f>
        <v>210027C</v>
      </c>
      <c r="B11" s="67" t="str">
        <f>'Detailed Marks'!B11</f>
        <v>ALAHAKOON U.M.Y.B.</v>
      </c>
      <c r="C11" s="73">
        <v>1.5</v>
      </c>
      <c r="D11" s="73">
        <v>2</v>
      </c>
      <c r="E11" s="73">
        <v>7</v>
      </c>
      <c r="F11" s="73">
        <v>4</v>
      </c>
      <c r="G11" s="70">
        <v>8</v>
      </c>
      <c r="H11" s="73">
        <v>6</v>
      </c>
      <c r="I11" s="73">
        <v>2</v>
      </c>
      <c r="J11" s="73">
        <v>2</v>
      </c>
      <c r="K11" s="73">
        <v>2</v>
      </c>
      <c r="L11" s="73">
        <v>1</v>
      </c>
      <c r="M11" s="73">
        <v>1</v>
      </c>
      <c r="N11" s="73">
        <v>4</v>
      </c>
      <c r="O11" s="73">
        <v>3</v>
      </c>
      <c r="P11" s="73">
        <v>6</v>
      </c>
      <c r="Q11" s="73">
        <v>3</v>
      </c>
      <c r="R11" s="73">
        <v>1</v>
      </c>
      <c r="S11" s="64">
        <f t="shared" si="0"/>
        <v>53.5</v>
      </c>
      <c r="T11" s="3">
        <f>'Detailed Marks'!L11</f>
        <v>66</v>
      </c>
    </row>
    <row r="12" spans="1:20" ht="19.5" customHeight="1" x14ac:dyDescent="0.3">
      <c r="A12" s="67" t="str">
        <f>'Detailed Marks'!A12</f>
        <v>210031H</v>
      </c>
      <c r="B12" s="67" t="str">
        <f>'Detailed Marks'!B12</f>
        <v>AMARASINGHE A.A.W.L.R.</v>
      </c>
      <c r="C12" s="73">
        <v>2</v>
      </c>
      <c r="D12" s="73">
        <v>0</v>
      </c>
      <c r="E12" s="73">
        <v>5</v>
      </c>
      <c r="F12" s="73">
        <v>4</v>
      </c>
      <c r="G12" s="70">
        <v>9</v>
      </c>
      <c r="H12" s="73">
        <v>2</v>
      </c>
      <c r="I12" s="73">
        <v>2</v>
      </c>
      <c r="J12" s="73">
        <v>4</v>
      </c>
      <c r="K12" s="73">
        <v>3</v>
      </c>
      <c r="L12" s="73">
        <v>6</v>
      </c>
      <c r="M12" s="73">
        <v>2</v>
      </c>
      <c r="N12" s="73">
        <v>4</v>
      </c>
      <c r="O12" s="73">
        <v>3</v>
      </c>
      <c r="P12" s="73">
        <v>3</v>
      </c>
      <c r="Q12" s="73">
        <v>1</v>
      </c>
      <c r="R12" s="73">
        <v>0</v>
      </c>
      <c r="S12" s="64">
        <f t="shared" ref="S12" si="1">SUM(C12:R12)</f>
        <v>50</v>
      </c>
      <c r="T12" s="3">
        <f>'Detailed Marks'!L12</f>
        <v>62.5</v>
      </c>
    </row>
    <row r="13" spans="1:20" ht="19.5" customHeight="1" x14ac:dyDescent="0.3">
      <c r="A13" s="67" t="str">
        <f>'Detailed Marks'!A13</f>
        <v>210035A</v>
      </c>
      <c r="B13" s="67" t="str">
        <f>'Detailed Marks'!B13</f>
        <v>AMARASINGHE Y.W.S.P.</v>
      </c>
      <c r="C13" s="73">
        <v>2</v>
      </c>
      <c r="D13" s="73">
        <v>4</v>
      </c>
      <c r="E13" s="73">
        <v>5</v>
      </c>
      <c r="F13" s="73">
        <v>4</v>
      </c>
      <c r="G13" s="70">
        <v>9</v>
      </c>
      <c r="H13" s="73">
        <v>0</v>
      </c>
      <c r="I13" s="73">
        <v>2</v>
      </c>
      <c r="J13" s="73">
        <v>2</v>
      </c>
      <c r="K13" s="73">
        <v>2</v>
      </c>
      <c r="L13" s="73">
        <v>6</v>
      </c>
      <c r="M13" s="73">
        <v>4</v>
      </c>
      <c r="N13" s="73">
        <v>4</v>
      </c>
      <c r="O13" s="73">
        <v>2</v>
      </c>
      <c r="P13" s="73">
        <v>3</v>
      </c>
      <c r="Q13" s="73">
        <v>2</v>
      </c>
      <c r="R13" s="73">
        <v>1</v>
      </c>
      <c r="S13" s="64">
        <f t="shared" si="0"/>
        <v>52</v>
      </c>
      <c r="T13" s="3">
        <f>'Detailed Marks'!L13</f>
        <v>64.5</v>
      </c>
    </row>
    <row r="14" spans="1:20" ht="19.5" customHeight="1" x14ac:dyDescent="0.3">
      <c r="A14" s="67" t="str">
        <f>'Detailed Marks'!A14</f>
        <v>210036D</v>
      </c>
      <c r="B14" s="67" t="str">
        <f>'Detailed Marks'!B14</f>
        <v>AMARASURIYA G.N.</v>
      </c>
      <c r="C14" s="73">
        <v>1.5</v>
      </c>
      <c r="D14" s="73">
        <v>0</v>
      </c>
      <c r="E14" s="73">
        <v>5</v>
      </c>
      <c r="F14" s="73">
        <v>5</v>
      </c>
      <c r="G14" s="70">
        <v>0</v>
      </c>
      <c r="H14" s="73">
        <v>3</v>
      </c>
      <c r="I14" s="73">
        <v>2</v>
      </c>
      <c r="J14" s="73">
        <v>1</v>
      </c>
      <c r="K14" s="73">
        <v>3</v>
      </c>
      <c r="L14" s="73">
        <v>0</v>
      </c>
      <c r="M14" s="73">
        <v>1</v>
      </c>
      <c r="N14" s="73">
        <v>4</v>
      </c>
      <c r="O14" s="73">
        <v>3</v>
      </c>
      <c r="P14" s="73">
        <v>3</v>
      </c>
      <c r="Q14" s="73">
        <v>3</v>
      </c>
      <c r="R14" s="73">
        <v>2</v>
      </c>
      <c r="S14" s="64">
        <f t="shared" ref="S14:S15" si="2">SUM(C14:R14)</f>
        <v>36.5</v>
      </c>
      <c r="T14" s="3">
        <f>'Detailed Marks'!L14</f>
        <v>49</v>
      </c>
    </row>
    <row r="15" spans="1:20" ht="19.5" customHeight="1" x14ac:dyDescent="0.3">
      <c r="A15" s="67" t="str">
        <f>'Detailed Marks'!A15</f>
        <v>210037G</v>
      </c>
      <c r="B15" s="67" t="str">
        <f>'Detailed Marks'!B15</f>
        <v>AMARATHUNGA D.N.</v>
      </c>
      <c r="C15" s="73">
        <v>0</v>
      </c>
      <c r="D15" s="73">
        <v>2</v>
      </c>
      <c r="E15" s="73">
        <v>5</v>
      </c>
      <c r="F15" s="73">
        <v>4</v>
      </c>
      <c r="G15" s="70">
        <v>0</v>
      </c>
      <c r="H15" s="73">
        <v>3</v>
      </c>
      <c r="I15" s="73">
        <v>2</v>
      </c>
      <c r="J15" s="73">
        <v>3</v>
      </c>
      <c r="K15" s="73">
        <v>2</v>
      </c>
      <c r="L15" s="73">
        <v>4</v>
      </c>
      <c r="M15" s="73">
        <v>1</v>
      </c>
      <c r="N15" s="73">
        <v>3</v>
      </c>
      <c r="O15" s="73">
        <v>2</v>
      </c>
      <c r="P15" s="73">
        <v>3</v>
      </c>
      <c r="Q15" s="73">
        <v>1</v>
      </c>
      <c r="R15" s="73">
        <v>0</v>
      </c>
      <c r="S15" s="64">
        <f t="shared" si="2"/>
        <v>35</v>
      </c>
      <c r="T15" s="3">
        <f>'Detailed Marks'!L15</f>
        <v>47.5</v>
      </c>
    </row>
    <row r="16" spans="1:20" ht="19.5" customHeight="1" x14ac:dyDescent="0.3">
      <c r="A16" s="67" t="str">
        <f>'Detailed Marks'!A16</f>
        <v>210041M</v>
      </c>
      <c r="B16" s="67" t="str">
        <f>'Detailed Marks'!B16</f>
        <v>AMUGODA A.S.S.</v>
      </c>
      <c r="C16" s="73">
        <v>4</v>
      </c>
      <c r="D16" s="73">
        <v>5</v>
      </c>
      <c r="E16" s="73">
        <v>8</v>
      </c>
      <c r="F16" s="73">
        <v>5</v>
      </c>
      <c r="G16" s="70">
        <v>9</v>
      </c>
      <c r="H16" s="73">
        <v>1</v>
      </c>
      <c r="I16" s="73">
        <v>4</v>
      </c>
      <c r="J16" s="73">
        <v>1</v>
      </c>
      <c r="K16" s="73">
        <v>4</v>
      </c>
      <c r="L16" s="73">
        <v>7</v>
      </c>
      <c r="M16" s="73">
        <v>1</v>
      </c>
      <c r="N16" s="73">
        <v>2</v>
      </c>
      <c r="O16" s="73">
        <v>3</v>
      </c>
      <c r="P16" s="73">
        <v>6</v>
      </c>
      <c r="Q16" s="73">
        <v>0</v>
      </c>
      <c r="R16" s="73">
        <v>0</v>
      </c>
      <c r="S16" s="64">
        <f t="shared" ref="S16:S79" si="3">SUM(C16:R16)</f>
        <v>60</v>
      </c>
      <c r="T16" s="3">
        <f>'Detailed Marks'!L16</f>
        <v>72.5</v>
      </c>
    </row>
    <row r="17" spans="1:20" ht="19.5" customHeight="1" x14ac:dyDescent="0.3">
      <c r="A17" s="67" t="str">
        <f>'Detailed Marks'!A17</f>
        <v>210069F</v>
      </c>
      <c r="B17" s="67" t="str">
        <f>'Detailed Marks'!B17</f>
        <v>BASNAYAKE B.Y.N.</v>
      </c>
      <c r="C17" s="73">
        <v>0</v>
      </c>
      <c r="D17" s="73">
        <v>3</v>
      </c>
      <c r="E17" s="73">
        <v>5</v>
      </c>
      <c r="F17" s="73">
        <v>2</v>
      </c>
      <c r="G17" s="70">
        <v>4</v>
      </c>
      <c r="H17" s="73">
        <v>3</v>
      </c>
      <c r="I17" s="73">
        <v>2</v>
      </c>
      <c r="J17" s="73">
        <v>1</v>
      </c>
      <c r="K17" s="73">
        <v>0</v>
      </c>
      <c r="L17" s="73">
        <v>3</v>
      </c>
      <c r="M17" s="73">
        <v>0</v>
      </c>
      <c r="N17" s="73">
        <v>1</v>
      </c>
      <c r="O17" s="73">
        <v>2</v>
      </c>
      <c r="P17" s="73">
        <v>4</v>
      </c>
      <c r="Q17" s="73">
        <v>1</v>
      </c>
      <c r="R17" s="73">
        <v>1</v>
      </c>
      <c r="S17" s="64">
        <f t="shared" ref="S17" si="4">SUM(C17:R17)</f>
        <v>32</v>
      </c>
      <c r="T17" s="3">
        <f>'Detailed Marks'!L17</f>
        <v>44.5</v>
      </c>
    </row>
    <row r="18" spans="1:20" ht="19.5" customHeight="1" x14ac:dyDescent="0.3">
      <c r="A18" s="67" t="str">
        <f>'Detailed Marks'!A18</f>
        <v>210071E</v>
      </c>
      <c r="B18" s="67" t="str">
        <f>'Detailed Marks'!B18</f>
        <v>BOTHEJU W.G.W.</v>
      </c>
      <c r="C18" s="73">
        <v>1.5</v>
      </c>
      <c r="D18" s="73">
        <v>3</v>
      </c>
      <c r="E18" s="73">
        <v>4</v>
      </c>
      <c r="F18" s="73">
        <v>4</v>
      </c>
      <c r="G18" s="70">
        <v>9</v>
      </c>
      <c r="H18" s="73">
        <v>2</v>
      </c>
      <c r="I18" s="73">
        <v>2</v>
      </c>
      <c r="J18" s="73">
        <v>2</v>
      </c>
      <c r="K18" s="73">
        <v>3</v>
      </c>
      <c r="L18" s="73">
        <v>8</v>
      </c>
      <c r="M18" s="73">
        <v>2</v>
      </c>
      <c r="N18" s="73">
        <v>1</v>
      </c>
      <c r="O18" s="73">
        <v>4</v>
      </c>
      <c r="P18" s="73">
        <v>6</v>
      </c>
      <c r="Q18" s="73">
        <v>3</v>
      </c>
      <c r="R18" s="73">
        <v>1</v>
      </c>
      <c r="S18" s="64">
        <f t="shared" si="3"/>
        <v>55.5</v>
      </c>
      <c r="T18" s="3">
        <f>'Detailed Marks'!L18</f>
        <v>68</v>
      </c>
    </row>
    <row r="19" spans="1:20" ht="19.5" customHeight="1" x14ac:dyDescent="0.3">
      <c r="A19" s="67" t="str">
        <f>'Detailed Marks'!A19</f>
        <v>210075U</v>
      </c>
      <c r="B19" s="67" t="str">
        <f>'Detailed Marks'!B19</f>
        <v>CHANDRAJITH B.P.L.</v>
      </c>
      <c r="C19" s="73">
        <v>1.5</v>
      </c>
      <c r="D19" s="73">
        <v>2</v>
      </c>
      <c r="E19" s="73">
        <v>7</v>
      </c>
      <c r="F19" s="73">
        <v>6</v>
      </c>
      <c r="G19" s="70">
        <v>9</v>
      </c>
      <c r="H19" s="73">
        <v>4</v>
      </c>
      <c r="I19" s="73">
        <v>3</v>
      </c>
      <c r="J19" s="73">
        <v>2</v>
      </c>
      <c r="K19" s="73">
        <v>3</v>
      </c>
      <c r="L19" s="73">
        <v>0</v>
      </c>
      <c r="M19" s="73">
        <v>0</v>
      </c>
      <c r="N19" s="73">
        <v>2</v>
      </c>
      <c r="O19" s="73">
        <v>2</v>
      </c>
      <c r="P19" s="73">
        <v>1</v>
      </c>
      <c r="Q19" s="73">
        <v>1</v>
      </c>
      <c r="R19" s="73">
        <v>0</v>
      </c>
      <c r="S19" s="64">
        <f t="shared" si="3"/>
        <v>43.5</v>
      </c>
      <c r="T19" s="3">
        <f>'Detailed Marks'!L19</f>
        <v>56</v>
      </c>
    </row>
    <row r="20" spans="1:20" ht="19.5" customHeight="1" x14ac:dyDescent="0.3">
      <c r="A20" s="67" t="str">
        <f>'Detailed Marks'!A20</f>
        <v>210088L</v>
      </c>
      <c r="B20" s="67" t="str">
        <f>'Detailed Marks'!B20</f>
        <v>COORAY P.L.L.K.</v>
      </c>
      <c r="C20" s="73">
        <v>2.5</v>
      </c>
      <c r="D20" s="73">
        <v>4</v>
      </c>
      <c r="E20" s="73">
        <v>4</v>
      </c>
      <c r="F20" s="73">
        <v>1</v>
      </c>
      <c r="G20" s="70">
        <v>0</v>
      </c>
      <c r="H20" s="73">
        <v>1</v>
      </c>
      <c r="I20" s="73">
        <v>0</v>
      </c>
      <c r="J20" s="73">
        <v>4</v>
      </c>
      <c r="K20" s="73">
        <v>2</v>
      </c>
      <c r="L20" s="73">
        <v>0</v>
      </c>
      <c r="M20" s="73">
        <v>0</v>
      </c>
      <c r="N20" s="73">
        <v>0</v>
      </c>
      <c r="O20" s="73">
        <v>4</v>
      </c>
      <c r="P20" s="73">
        <v>3</v>
      </c>
      <c r="Q20" s="73">
        <v>2</v>
      </c>
      <c r="R20" s="73">
        <v>0</v>
      </c>
      <c r="S20" s="64">
        <f t="shared" si="3"/>
        <v>27.5</v>
      </c>
      <c r="T20" s="3">
        <f>'Detailed Marks'!L20</f>
        <v>40.200000000000003</v>
      </c>
    </row>
    <row r="21" spans="1:20" ht="19.5" customHeight="1" x14ac:dyDescent="0.3">
      <c r="A21" s="67" t="str">
        <f>'Detailed Marks'!A21</f>
        <v>210089P</v>
      </c>
      <c r="B21" s="67" t="str">
        <f>'Detailed Marks'!B21</f>
        <v>DABARE A.D.T.</v>
      </c>
      <c r="C21" s="73">
        <v>2</v>
      </c>
      <c r="D21" s="73">
        <v>0</v>
      </c>
      <c r="E21" s="73">
        <v>7</v>
      </c>
      <c r="F21" s="73">
        <v>6</v>
      </c>
      <c r="G21" s="70">
        <v>10</v>
      </c>
      <c r="H21" s="73">
        <v>4</v>
      </c>
      <c r="I21" s="73">
        <v>2</v>
      </c>
      <c r="J21" s="73">
        <v>4</v>
      </c>
      <c r="K21" s="73">
        <v>2</v>
      </c>
      <c r="L21" s="73">
        <v>6</v>
      </c>
      <c r="M21" s="73">
        <v>2</v>
      </c>
      <c r="N21" s="73">
        <v>3</v>
      </c>
      <c r="O21" s="73">
        <v>4</v>
      </c>
      <c r="P21" s="73">
        <v>4</v>
      </c>
      <c r="Q21" s="73">
        <v>3</v>
      </c>
      <c r="R21" s="73">
        <v>0</v>
      </c>
      <c r="S21" s="64">
        <f t="shared" si="3"/>
        <v>59</v>
      </c>
      <c r="T21" s="3">
        <f>'Detailed Marks'!L21</f>
        <v>71.5</v>
      </c>
    </row>
    <row r="22" spans="1:20" ht="19.5" customHeight="1" x14ac:dyDescent="0.3">
      <c r="A22" s="67" t="str">
        <f>'Detailed Marks'!A22</f>
        <v>210095F</v>
      </c>
      <c r="B22" s="67" t="str">
        <f>'Detailed Marks'!B22</f>
        <v>DASSANAYAKE D.M.T.K.R.</v>
      </c>
      <c r="C22" s="73">
        <v>1</v>
      </c>
      <c r="D22" s="73">
        <v>3</v>
      </c>
      <c r="E22" s="73">
        <v>5</v>
      </c>
      <c r="F22" s="73">
        <v>6</v>
      </c>
      <c r="G22" s="70">
        <v>9</v>
      </c>
      <c r="H22" s="73">
        <v>2</v>
      </c>
      <c r="I22" s="73">
        <v>2</v>
      </c>
      <c r="J22" s="73">
        <v>4</v>
      </c>
      <c r="K22" s="73">
        <v>3</v>
      </c>
      <c r="L22" s="73">
        <v>2</v>
      </c>
      <c r="M22" s="73">
        <v>1</v>
      </c>
      <c r="N22" s="73">
        <v>2</v>
      </c>
      <c r="O22" s="73">
        <v>2</v>
      </c>
      <c r="P22" s="73">
        <v>5</v>
      </c>
      <c r="Q22" s="73">
        <v>3</v>
      </c>
      <c r="R22" s="73">
        <v>0</v>
      </c>
      <c r="S22" s="64">
        <f t="shared" si="3"/>
        <v>50</v>
      </c>
      <c r="T22" s="3">
        <f>'Detailed Marks'!L22</f>
        <v>62.5</v>
      </c>
    </row>
    <row r="23" spans="1:20" ht="19.5" customHeight="1" x14ac:dyDescent="0.3">
      <c r="A23" s="67" t="str">
        <f>'Detailed Marks'!A23</f>
        <v>210097M</v>
      </c>
      <c r="B23" s="67" t="str">
        <f>'Detailed Marks'!B23</f>
        <v>DE SILVA A.N.T.</v>
      </c>
      <c r="C23" s="73">
        <v>3</v>
      </c>
      <c r="D23" s="73">
        <v>0</v>
      </c>
      <c r="E23" s="73">
        <v>3</v>
      </c>
      <c r="F23" s="73">
        <v>0</v>
      </c>
      <c r="G23" s="70">
        <v>0</v>
      </c>
      <c r="H23" s="73">
        <v>0</v>
      </c>
      <c r="I23" s="73">
        <v>2</v>
      </c>
      <c r="J23" s="73">
        <v>1</v>
      </c>
      <c r="K23" s="73">
        <v>3</v>
      </c>
      <c r="L23" s="73">
        <v>0</v>
      </c>
      <c r="M23" s="73">
        <v>1</v>
      </c>
      <c r="N23" s="73">
        <v>2</v>
      </c>
      <c r="O23" s="73">
        <v>4</v>
      </c>
      <c r="P23" s="73">
        <v>4</v>
      </c>
      <c r="Q23" s="73">
        <v>1</v>
      </c>
      <c r="R23" s="73">
        <v>0</v>
      </c>
      <c r="S23" s="64">
        <f t="shared" si="3"/>
        <v>24</v>
      </c>
      <c r="T23" s="3">
        <f>'Detailed Marks'!L23</f>
        <v>36.5</v>
      </c>
    </row>
    <row r="24" spans="1:20" ht="19.5" customHeight="1" x14ac:dyDescent="0.3">
      <c r="A24" s="67" t="str">
        <f>'Detailed Marks'!A24</f>
        <v>210108C</v>
      </c>
      <c r="B24" s="67" t="str">
        <f>'Detailed Marks'!B24</f>
        <v>DE ZOYSA A.K.N.</v>
      </c>
      <c r="C24" s="73">
        <v>1.5</v>
      </c>
      <c r="D24" s="73">
        <v>2</v>
      </c>
      <c r="E24" s="73">
        <v>4</v>
      </c>
      <c r="F24" s="73">
        <v>6</v>
      </c>
      <c r="G24" s="70">
        <v>4</v>
      </c>
      <c r="H24" s="73">
        <v>4</v>
      </c>
      <c r="I24" s="73">
        <v>2</v>
      </c>
      <c r="J24" s="73">
        <v>2</v>
      </c>
      <c r="K24" s="73">
        <v>2</v>
      </c>
      <c r="L24" s="73">
        <v>0</v>
      </c>
      <c r="M24" s="73">
        <v>0</v>
      </c>
      <c r="N24" s="73">
        <v>3</v>
      </c>
      <c r="O24" s="73">
        <v>1</v>
      </c>
      <c r="P24" s="73">
        <v>2</v>
      </c>
      <c r="Q24" s="73">
        <v>1</v>
      </c>
      <c r="R24" s="73">
        <v>0</v>
      </c>
      <c r="S24" s="64">
        <f t="shared" ref="S24" si="5">SUM(C24:R24)</f>
        <v>34.5</v>
      </c>
      <c r="T24" s="3">
        <f>'Detailed Marks'!L24</f>
        <v>47</v>
      </c>
    </row>
    <row r="25" spans="1:20" ht="19.5" customHeight="1" x14ac:dyDescent="0.3">
      <c r="A25" s="67" t="str">
        <f>'Detailed Marks'!A25</f>
        <v>210121J</v>
      </c>
      <c r="B25" s="67" t="str">
        <f>'Detailed Marks'!B25</f>
        <v>DHARMADASA W.H.M.A.D.</v>
      </c>
      <c r="C25" s="73">
        <v>3</v>
      </c>
      <c r="D25" s="73">
        <v>0</v>
      </c>
      <c r="E25" s="73">
        <v>3</v>
      </c>
      <c r="F25" s="73">
        <v>4</v>
      </c>
      <c r="G25" s="70">
        <v>0</v>
      </c>
      <c r="H25" s="73">
        <v>3</v>
      </c>
      <c r="I25" s="73">
        <v>0</v>
      </c>
      <c r="J25" s="73">
        <v>2</v>
      </c>
      <c r="K25" s="73">
        <v>1</v>
      </c>
      <c r="L25" s="73">
        <v>0</v>
      </c>
      <c r="M25" s="73">
        <v>3</v>
      </c>
      <c r="N25" s="73">
        <v>2</v>
      </c>
      <c r="O25" s="73">
        <v>1</v>
      </c>
      <c r="P25" s="73">
        <v>2</v>
      </c>
      <c r="Q25" s="73">
        <v>2</v>
      </c>
      <c r="R25" s="73">
        <v>0</v>
      </c>
      <c r="S25" s="64">
        <f t="shared" ref="S25" si="6">SUM(C25:R25)</f>
        <v>26</v>
      </c>
      <c r="T25" s="3">
        <f>'Detailed Marks'!L25</f>
        <v>38.5</v>
      </c>
    </row>
    <row r="26" spans="1:20" ht="19.5" customHeight="1" x14ac:dyDescent="0.3">
      <c r="A26" s="67" t="str">
        <f>'Detailed Marks'!A26</f>
        <v>210130K</v>
      </c>
      <c r="B26" s="67" t="str">
        <f>'Detailed Marks'!B26</f>
        <v>DILUSHANA H.M.P.S.</v>
      </c>
      <c r="C26" s="73">
        <v>2.5</v>
      </c>
      <c r="D26" s="73">
        <v>1</v>
      </c>
      <c r="E26" s="73">
        <v>5</v>
      </c>
      <c r="F26" s="73">
        <v>3</v>
      </c>
      <c r="G26" s="70">
        <v>1</v>
      </c>
      <c r="H26" s="73">
        <v>0</v>
      </c>
      <c r="I26" s="73">
        <v>2</v>
      </c>
      <c r="J26" s="73">
        <v>2</v>
      </c>
      <c r="K26" s="73">
        <v>2</v>
      </c>
      <c r="L26" s="73">
        <v>0</v>
      </c>
      <c r="M26" s="73">
        <v>0</v>
      </c>
      <c r="N26" s="73">
        <v>3</v>
      </c>
      <c r="O26" s="73">
        <v>2</v>
      </c>
      <c r="P26" s="73">
        <v>1</v>
      </c>
      <c r="Q26" s="73">
        <v>0</v>
      </c>
      <c r="R26" s="73">
        <v>0</v>
      </c>
      <c r="S26" s="64">
        <f t="shared" si="3"/>
        <v>24.5</v>
      </c>
      <c r="T26" s="3">
        <f>'Detailed Marks'!L26</f>
        <v>37</v>
      </c>
    </row>
    <row r="27" spans="1:20" ht="19.5" customHeight="1" x14ac:dyDescent="0.3">
      <c r="A27" s="67" t="str">
        <f>'Detailed Marks'!A27</f>
        <v>210131N</v>
      </c>
      <c r="B27" s="67" t="str">
        <f>'Detailed Marks'!B27</f>
        <v>DIMAGI D.H.P.</v>
      </c>
      <c r="C27" s="73">
        <v>2</v>
      </c>
      <c r="D27" s="73">
        <v>3</v>
      </c>
      <c r="E27" s="73">
        <v>4</v>
      </c>
      <c r="F27" s="73">
        <v>6</v>
      </c>
      <c r="G27" s="70">
        <v>9</v>
      </c>
      <c r="H27" s="73">
        <v>3</v>
      </c>
      <c r="I27" s="73">
        <v>2</v>
      </c>
      <c r="J27" s="73">
        <v>4</v>
      </c>
      <c r="K27" s="73">
        <v>3</v>
      </c>
      <c r="L27" s="73">
        <v>0</v>
      </c>
      <c r="M27" s="73">
        <v>2</v>
      </c>
      <c r="N27" s="73">
        <v>1</v>
      </c>
      <c r="O27" s="73">
        <v>6</v>
      </c>
      <c r="P27" s="73">
        <v>7</v>
      </c>
      <c r="Q27" s="73">
        <v>3</v>
      </c>
      <c r="R27" s="73">
        <v>1</v>
      </c>
      <c r="S27" s="64">
        <f t="shared" si="3"/>
        <v>56</v>
      </c>
      <c r="T27" s="3">
        <f>'Detailed Marks'!L27</f>
        <v>68.5</v>
      </c>
    </row>
    <row r="28" spans="1:20" ht="19.5" customHeight="1" x14ac:dyDescent="0.3">
      <c r="A28" s="67" t="str">
        <f>'Detailed Marks'!A28</f>
        <v>210140P</v>
      </c>
      <c r="B28" s="67" t="str">
        <f>'Detailed Marks'!B28</f>
        <v>DISSANAYAKA D.M.P.C.</v>
      </c>
      <c r="C28" s="73">
        <v>3</v>
      </c>
      <c r="D28" s="73">
        <v>1</v>
      </c>
      <c r="E28" s="73">
        <v>5</v>
      </c>
      <c r="F28" s="73">
        <v>6</v>
      </c>
      <c r="G28" s="70">
        <v>8</v>
      </c>
      <c r="H28" s="73">
        <v>3</v>
      </c>
      <c r="I28" s="73">
        <v>0</v>
      </c>
      <c r="J28" s="73">
        <v>3</v>
      </c>
      <c r="K28" s="73">
        <v>2</v>
      </c>
      <c r="L28" s="73">
        <v>0</v>
      </c>
      <c r="M28" s="73">
        <v>3</v>
      </c>
      <c r="N28" s="73">
        <v>3</v>
      </c>
      <c r="O28" s="73">
        <v>3</v>
      </c>
      <c r="P28" s="73">
        <v>4</v>
      </c>
      <c r="Q28" s="73">
        <v>1</v>
      </c>
      <c r="R28" s="73">
        <v>0</v>
      </c>
      <c r="S28" s="64">
        <f t="shared" si="3"/>
        <v>45</v>
      </c>
      <c r="T28" s="3">
        <f>'Detailed Marks'!L28</f>
        <v>57.5</v>
      </c>
    </row>
    <row r="29" spans="1:20" ht="19.5" customHeight="1" x14ac:dyDescent="0.3">
      <c r="A29" s="67" t="str">
        <f>'Detailed Marks'!A29</f>
        <v>210141U</v>
      </c>
      <c r="B29" s="67" t="str">
        <f>'Detailed Marks'!B29</f>
        <v>DISSANAYAKA D.M.S.P.</v>
      </c>
      <c r="C29" s="73">
        <v>2.5</v>
      </c>
      <c r="D29" s="73">
        <v>5</v>
      </c>
      <c r="E29" s="73">
        <v>6</v>
      </c>
      <c r="F29" s="73">
        <v>6</v>
      </c>
      <c r="G29" s="70">
        <v>9</v>
      </c>
      <c r="H29" s="73">
        <v>2</v>
      </c>
      <c r="I29" s="73">
        <v>2</v>
      </c>
      <c r="J29" s="73">
        <v>0</v>
      </c>
      <c r="K29" s="73">
        <v>3</v>
      </c>
      <c r="L29" s="73">
        <v>0</v>
      </c>
      <c r="M29" s="73">
        <v>1</v>
      </c>
      <c r="N29" s="73">
        <v>3</v>
      </c>
      <c r="O29" s="73">
        <v>1</v>
      </c>
      <c r="P29" s="73">
        <v>0</v>
      </c>
      <c r="Q29" s="73">
        <v>0</v>
      </c>
      <c r="R29" s="73">
        <v>1</v>
      </c>
      <c r="S29" s="64">
        <f t="shared" si="3"/>
        <v>41.5</v>
      </c>
      <c r="T29" s="3">
        <f>'Detailed Marks'!L29</f>
        <v>54</v>
      </c>
    </row>
    <row r="30" spans="1:20" ht="19.5" customHeight="1" x14ac:dyDescent="0.3">
      <c r="A30" s="67" t="str">
        <f>'Detailed Marks'!A30</f>
        <v>210147T</v>
      </c>
      <c r="B30" s="67" t="str">
        <f>'Detailed Marks'!B30</f>
        <v>DISSANAYAKE D.M.S.D.</v>
      </c>
      <c r="C30" s="73">
        <v>2</v>
      </c>
      <c r="D30" s="73">
        <v>0</v>
      </c>
      <c r="E30" s="73">
        <v>3</v>
      </c>
      <c r="F30" s="73">
        <v>5</v>
      </c>
      <c r="G30" s="70">
        <v>0</v>
      </c>
      <c r="H30" s="73">
        <v>2</v>
      </c>
      <c r="I30" s="73">
        <v>2</v>
      </c>
      <c r="J30" s="73">
        <v>0</v>
      </c>
      <c r="K30" s="73">
        <v>2</v>
      </c>
      <c r="L30" s="73">
        <v>0</v>
      </c>
      <c r="M30" s="73">
        <v>1</v>
      </c>
      <c r="N30" s="73">
        <v>3</v>
      </c>
      <c r="O30" s="73">
        <v>2</v>
      </c>
      <c r="P30" s="73">
        <v>1</v>
      </c>
      <c r="Q30" s="73">
        <v>1</v>
      </c>
      <c r="R30" s="73">
        <v>0</v>
      </c>
      <c r="S30" s="64">
        <f t="shared" si="3"/>
        <v>24</v>
      </c>
      <c r="T30" s="3">
        <f>'Detailed Marks'!L30</f>
        <v>36.5</v>
      </c>
    </row>
    <row r="31" spans="1:20" ht="19.5" customHeight="1" x14ac:dyDescent="0.3">
      <c r="A31" s="67" t="str">
        <f>'Detailed Marks'!A31</f>
        <v>210150V</v>
      </c>
      <c r="B31" s="67" t="str">
        <f>'Detailed Marks'!B31</f>
        <v>DODANGODA D.K.S.J.</v>
      </c>
      <c r="C31" s="73">
        <v>2</v>
      </c>
      <c r="D31" s="73">
        <v>1</v>
      </c>
      <c r="E31" s="73">
        <v>3</v>
      </c>
      <c r="F31" s="73">
        <v>2</v>
      </c>
      <c r="G31" s="70">
        <v>4</v>
      </c>
      <c r="H31" s="73">
        <v>4</v>
      </c>
      <c r="I31" s="73">
        <v>2</v>
      </c>
      <c r="J31" s="73">
        <v>1</v>
      </c>
      <c r="K31" s="73">
        <v>1</v>
      </c>
      <c r="L31" s="73">
        <v>6</v>
      </c>
      <c r="M31" s="73">
        <v>0</v>
      </c>
      <c r="N31" s="73">
        <v>3</v>
      </c>
      <c r="O31" s="73">
        <v>0</v>
      </c>
      <c r="P31" s="73">
        <v>4</v>
      </c>
      <c r="Q31" s="73">
        <v>0</v>
      </c>
      <c r="R31" s="73">
        <v>2</v>
      </c>
      <c r="S31" s="64">
        <f t="shared" si="3"/>
        <v>35</v>
      </c>
      <c r="T31" s="3">
        <f>'Detailed Marks'!L31</f>
        <v>47.5</v>
      </c>
    </row>
    <row r="32" spans="1:20" ht="19.5" customHeight="1" x14ac:dyDescent="0.3">
      <c r="A32" s="67" t="str">
        <f>'Detailed Marks'!A32</f>
        <v>210152E</v>
      </c>
      <c r="B32" s="67" t="str">
        <f>'Detailed Marks'!B32</f>
        <v>DULNATH W.H.R.</v>
      </c>
      <c r="C32" s="73">
        <v>2.5</v>
      </c>
      <c r="D32" s="73">
        <v>2</v>
      </c>
      <c r="E32" s="73">
        <v>7</v>
      </c>
      <c r="F32" s="73">
        <v>5</v>
      </c>
      <c r="G32" s="70">
        <v>0</v>
      </c>
      <c r="H32" s="73">
        <v>3</v>
      </c>
      <c r="I32" s="73">
        <v>0</v>
      </c>
      <c r="J32" s="73">
        <v>0</v>
      </c>
      <c r="K32" s="73">
        <v>3</v>
      </c>
      <c r="L32" s="73">
        <v>0</v>
      </c>
      <c r="M32" s="73">
        <v>1</v>
      </c>
      <c r="N32" s="73">
        <v>2</v>
      </c>
      <c r="O32" s="73">
        <v>2</v>
      </c>
      <c r="P32" s="73">
        <v>0</v>
      </c>
      <c r="Q32" s="73">
        <v>1</v>
      </c>
      <c r="R32" s="73">
        <v>0</v>
      </c>
      <c r="S32" s="64">
        <f t="shared" si="3"/>
        <v>28.5</v>
      </c>
      <c r="T32" s="3">
        <f>'Detailed Marks'!L32</f>
        <v>41.3</v>
      </c>
    </row>
    <row r="33" spans="1:20" ht="19.5" customHeight="1" x14ac:dyDescent="0.3">
      <c r="A33" s="67" t="str">
        <f>'Detailed Marks'!A33</f>
        <v>210153H</v>
      </c>
      <c r="B33" s="67" t="str">
        <f>'Detailed Marks'!B33</f>
        <v>EDIRISINGHE E.A.D.D.D.</v>
      </c>
      <c r="C33" s="73">
        <v>2.5</v>
      </c>
      <c r="D33" s="73">
        <v>4</v>
      </c>
      <c r="E33" s="73">
        <v>8</v>
      </c>
      <c r="F33" s="73">
        <v>5</v>
      </c>
      <c r="G33" s="70">
        <v>10</v>
      </c>
      <c r="H33" s="73">
        <v>2</v>
      </c>
      <c r="I33" s="73">
        <v>0</v>
      </c>
      <c r="J33" s="73">
        <v>1</v>
      </c>
      <c r="K33" s="73">
        <v>3</v>
      </c>
      <c r="L33" s="73">
        <v>0</v>
      </c>
      <c r="M33" s="73">
        <v>0</v>
      </c>
      <c r="N33" s="73">
        <v>1</v>
      </c>
      <c r="O33" s="73">
        <v>2</v>
      </c>
      <c r="P33" s="73">
        <v>0</v>
      </c>
      <c r="Q33" s="73">
        <v>0</v>
      </c>
      <c r="R33" s="73">
        <v>1</v>
      </c>
      <c r="S33" s="64">
        <f t="shared" si="3"/>
        <v>39.5</v>
      </c>
      <c r="T33" s="3">
        <f>'Detailed Marks'!L33</f>
        <v>52</v>
      </c>
    </row>
    <row r="34" spans="1:20" ht="19.5" customHeight="1" x14ac:dyDescent="0.3">
      <c r="A34" s="67" t="str">
        <f>'Detailed Marks'!A34</f>
        <v>210156U</v>
      </c>
      <c r="B34" s="67" t="str">
        <f>'Detailed Marks'!B34</f>
        <v>EPA Y.L.A.</v>
      </c>
      <c r="C34" s="73">
        <v>1.5</v>
      </c>
      <c r="D34" s="73">
        <v>1</v>
      </c>
      <c r="E34" s="73">
        <v>7</v>
      </c>
      <c r="F34" s="73">
        <v>6</v>
      </c>
      <c r="G34" s="70">
        <v>9</v>
      </c>
      <c r="H34" s="73">
        <v>3</v>
      </c>
      <c r="I34" s="73">
        <v>2</v>
      </c>
      <c r="J34" s="73">
        <v>3</v>
      </c>
      <c r="K34" s="73">
        <v>2</v>
      </c>
      <c r="L34" s="73">
        <v>0</v>
      </c>
      <c r="M34" s="73">
        <v>2</v>
      </c>
      <c r="N34" s="73">
        <v>2</v>
      </c>
      <c r="O34" s="73">
        <v>2</v>
      </c>
      <c r="P34" s="73">
        <v>2</v>
      </c>
      <c r="Q34" s="73">
        <v>2</v>
      </c>
      <c r="R34" s="73">
        <v>0</v>
      </c>
      <c r="S34" s="64">
        <f t="shared" si="3"/>
        <v>44.5</v>
      </c>
      <c r="T34" s="3">
        <f>'Detailed Marks'!L34</f>
        <v>57</v>
      </c>
    </row>
    <row r="35" spans="1:20" ht="19.5" customHeight="1" x14ac:dyDescent="0.3">
      <c r="A35" s="67" t="str">
        <f>'Detailed Marks'!A35</f>
        <v>210157A</v>
      </c>
      <c r="B35" s="67" t="str">
        <f>'Detailed Marks'!B35</f>
        <v>EPA Y.R.A.</v>
      </c>
      <c r="C35" s="73">
        <v>1.5</v>
      </c>
      <c r="D35" s="73">
        <v>3</v>
      </c>
      <c r="E35" s="73">
        <v>5</v>
      </c>
      <c r="F35" s="73">
        <v>6</v>
      </c>
      <c r="G35" s="70">
        <v>9</v>
      </c>
      <c r="H35" s="73">
        <v>3</v>
      </c>
      <c r="I35" s="73">
        <v>2</v>
      </c>
      <c r="J35" s="73">
        <v>4</v>
      </c>
      <c r="K35" s="73">
        <v>3</v>
      </c>
      <c r="L35" s="73">
        <v>6</v>
      </c>
      <c r="M35" s="73">
        <v>0</v>
      </c>
      <c r="N35" s="73">
        <v>3</v>
      </c>
      <c r="O35" s="73">
        <v>3</v>
      </c>
      <c r="P35" s="73">
        <v>6</v>
      </c>
      <c r="Q35" s="73">
        <v>1</v>
      </c>
      <c r="R35" s="73">
        <v>0</v>
      </c>
      <c r="S35" s="64">
        <f t="shared" si="3"/>
        <v>55.5</v>
      </c>
      <c r="T35" s="3">
        <f>'Detailed Marks'!L35</f>
        <v>68</v>
      </c>
    </row>
    <row r="36" spans="1:20" ht="19.5" customHeight="1" x14ac:dyDescent="0.3">
      <c r="A36" s="67" t="str">
        <f>'Detailed Marks'!A36</f>
        <v>210162J</v>
      </c>
      <c r="B36" s="67" t="str">
        <f>'Detailed Marks'!B36</f>
        <v>FERNANDO N.I.S.P.</v>
      </c>
      <c r="C36" s="73">
        <v>3</v>
      </c>
      <c r="D36" s="73">
        <v>0</v>
      </c>
      <c r="E36" s="73">
        <v>0</v>
      </c>
      <c r="F36" s="73">
        <v>3</v>
      </c>
      <c r="G36" s="70">
        <v>4</v>
      </c>
      <c r="H36" s="73">
        <v>0</v>
      </c>
      <c r="I36" s="73">
        <v>3</v>
      </c>
      <c r="J36" s="73">
        <v>2</v>
      </c>
      <c r="K36" s="73">
        <v>2</v>
      </c>
      <c r="L36" s="73">
        <v>0</v>
      </c>
      <c r="M36" s="73">
        <v>3</v>
      </c>
      <c r="N36" s="73">
        <v>0</v>
      </c>
      <c r="O36" s="73">
        <v>2</v>
      </c>
      <c r="P36" s="73">
        <v>2</v>
      </c>
      <c r="Q36" s="73">
        <v>0</v>
      </c>
      <c r="R36" s="73">
        <v>0</v>
      </c>
      <c r="S36" s="64">
        <f t="shared" si="3"/>
        <v>24</v>
      </c>
      <c r="T36" s="3">
        <f>'Detailed Marks'!L36</f>
        <v>36.5</v>
      </c>
    </row>
    <row r="37" spans="1:20" ht="19.5" customHeight="1" x14ac:dyDescent="0.3">
      <c r="A37" s="67" t="str">
        <f>'Detailed Marks'!A37</f>
        <v>210169L</v>
      </c>
      <c r="B37" s="67" t="str">
        <f>'Detailed Marks'!B37</f>
        <v>FERNANDO W.W.R.N.S.</v>
      </c>
      <c r="C37" s="73">
        <v>2</v>
      </c>
      <c r="D37" s="73">
        <v>3</v>
      </c>
      <c r="E37" s="73">
        <v>9</v>
      </c>
      <c r="F37" s="73">
        <v>6</v>
      </c>
      <c r="G37" s="70">
        <v>9</v>
      </c>
      <c r="H37" s="73">
        <v>4</v>
      </c>
      <c r="I37" s="73">
        <v>2</v>
      </c>
      <c r="J37" s="73">
        <v>3</v>
      </c>
      <c r="K37" s="73">
        <v>3</v>
      </c>
      <c r="L37" s="73">
        <v>0</v>
      </c>
      <c r="M37" s="73">
        <v>0</v>
      </c>
      <c r="N37" s="73">
        <v>2</v>
      </c>
      <c r="O37" s="73">
        <v>6</v>
      </c>
      <c r="P37" s="73">
        <v>6</v>
      </c>
      <c r="Q37" s="73">
        <v>1</v>
      </c>
      <c r="R37" s="73">
        <v>0</v>
      </c>
      <c r="S37" s="64">
        <f t="shared" si="3"/>
        <v>56</v>
      </c>
      <c r="T37" s="3">
        <f>'Detailed Marks'!L37</f>
        <v>68.5</v>
      </c>
    </row>
    <row r="38" spans="1:20" ht="19.5" customHeight="1" x14ac:dyDescent="0.3">
      <c r="A38" s="67" t="str">
        <f>'Detailed Marks'!A38</f>
        <v>210174X</v>
      </c>
      <c r="B38" s="67" t="str">
        <f>'Detailed Marks'!B38</f>
        <v>GALLELLA M.M.H.H.B.</v>
      </c>
      <c r="C38" s="73">
        <v>2</v>
      </c>
      <c r="D38" s="73">
        <v>3</v>
      </c>
      <c r="E38" s="73">
        <v>8</v>
      </c>
      <c r="F38" s="73">
        <v>6</v>
      </c>
      <c r="G38" s="70">
        <v>5</v>
      </c>
      <c r="H38" s="73">
        <v>1</v>
      </c>
      <c r="I38" s="73">
        <v>2</v>
      </c>
      <c r="J38" s="73">
        <v>3</v>
      </c>
      <c r="K38" s="73">
        <v>4</v>
      </c>
      <c r="L38" s="73">
        <v>8</v>
      </c>
      <c r="M38" s="73">
        <v>2</v>
      </c>
      <c r="N38" s="73">
        <v>3</v>
      </c>
      <c r="O38" s="73">
        <v>2</v>
      </c>
      <c r="P38" s="73">
        <v>6</v>
      </c>
      <c r="Q38" s="73">
        <v>6</v>
      </c>
      <c r="R38" s="73">
        <v>2</v>
      </c>
      <c r="S38" s="64">
        <f t="shared" si="3"/>
        <v>63</v>
      </c>
      <c r="T38" s="3">
        <f>'Detailed Marks'!L38</f>
        <v>75.5</v>
      </c>
    </row>
    <row r="39" spans="1:20" ht="19.5" customHeight="1" x14ac:dyDescent="0.3">
      <c r="A39" s="67" t="str">
        <f>'Detailed Marks'!A39</f>
        <v>210179R</v>
      </c>
      <c r="B39" s="67" t="str">
        <f>'Detailed Marks'!B39</f>
        <v>GAMMUNE D.J.T.</v>
      </c>
      <c r="C39" s="73">
        <v>1.5</v>
      </c>
      <c r="D39" s="73">
        <v>3</v>
      </c>
      <c r="E39" s="73">
        <v>4</v>
      </c>
      <c r="F39" s="73">
        <v>5</v>
      </c>
      <c r="G39" s="70">
        <v>9</v>
      </c>
      <c r="H39" s="73">
        <v>1</v>
      </c>
      <c r="I39" s="73">
        <v>1</v>
      </c>
      <c r="J39" s="73">
        <v>4</v>
      </c>
      <c r="K39" s="73">
        <v>3</v>
      </c>
      <c r="L39" s="73">
        <v>8</v>
      </c>
      <c r="M39" s="73">
        <v>1</v>
      </c>
      <c r="N39" s="73">
        <v>3</v>
      </c>
      <c r="O39" s="73">
        <v>4</v>
      </c>
      <c r="P39" s="73">
        <v>6</v>
      </c>
      <c r="Q39" s="73">
        <v>1</v>
      </c>
      <c r="R39" s="73">
        <v>1</v>
      </c>
      <c r="S39" s="64">
        <f t="shared" si="3"/>
        <v>55.5</v>
      </c>
      <c r="T39" s="3">
        <f>'Detailed Marks'!L39</f>
        <v>68</v>
      </c>
    </row>
    <row r="40" spans="1:20" ht="19.5" customHeight="1" x14ac:dyDescent="0.3">
      <c r="A40" s="67" t="str">
        <f>'Detailed Marks'!A40</f>
        <v>210199D</v>
      </c>
      <c r="B40" s="67" t="str">
        <f>'Detailed Marks'!B40</f>
        <v>GUNAWARDANA W.N.M.</v>
      </c>
      <c r="C40" s="73">
        <v>2</v>
      </c>
      <c r="D40" s="73">
        <v>1</v>
      </c>
      <c r="E40" s="73">
        <v>5</v>
      </c>
      <c r="F40" s="73">
        <v>6</v>
      </c>
      <c r="G40" s="70">
        <v>9</v>
      </c>
      <c r="H40" s="73">
        <v>3</v>
      </c>
      <c r="I40" s="73">
        <v>1</v>
      </c>
      <c r="J40" s="73">
        <v>3</v>
      </c>
      <c r="K40" s="73">
        <v>4</v>
      </c>
      <c r="L40" s="73">
        <v>0</v>
      </c>
      <c r="M40" s="73">
        <v>1</v>
      </c>
      <c r="N40" s="73">
        <v>3</v>
      </c>
      <c r="O40" s="73">
        <v>0</v>
      </c>
      <c r="P40" s="73">
        <v>3</v>
      </c>
      <c r="Q40" s="73">
        <v>3</v>
      </c>
      <c r="R40" s="73">
        <v>1</v>
      </c>
      <c r="S40" s="64">
        <f t="shared" si="3"/>
        <v>45</v>
      </c>
      <c r="T40" s="3">
        <f>'Detailed Marks'!L40</f>
        <v>57.5</v>
      </c>
    </row>
    <row r="41" spans="1:20" ht="19.5" customHeight="1" x14ac:dyDescent="0.3">
      <c r="A41" s="67" t="str">
        <f>'Detailed Marks'!A41</f>
        <v>210200C</v>
      </c>
      <c r="B41" s="67" t="str">
        <f>'Detailed Marks'!B41</f>
        <v>GUNAWARDANE E.R.N.H.</v>
      </c>
      <c r="C41" s="73">
        <v>1.5</v>
      </c>
      <c r="D41" s="73">
        <v>5</v>
      </c>
      <c r="E41" s="73">
        <v>5</v>
      </c>
      <c r="F41" s="73">
        <v>6</v>
      </c>
      <c r="G41" s="70">
        <v>10</v>
      </c>
      <c r="H41" s="73">
        <v>2</v>
      </c>
      <c r="I41" s="73">
        <v>2</v>
      </c>
      <c r="J41" s="73">
        <v>2</v>
      </c>
      <c r="K41" s="73">
        <v>4</v>
      </c>
      <c r="L41" s="73">
        <v>6</v>
      </c>
      <c r="M41" s="73">
        <v>0</v>
      </c>
      <c r="N41" s="73">
        <v>3</v>
      </c>
      <c r="O41" s="73">
        <v>3</v>
      </c>
      <c r="P41" s="73">
        <v>5</v>
      </c>
      <c r="Q41" s="73">
        <v>2</v>
      </c>
      <c r="R41" s="73">
        <v>1</v>
      </c>
      <c r="S41" s="64">
        <f t="shared" si="3"/>
        <v>57.5</v>
      </c>
      <c r="T41" s="3">
        <f>'Detailed Marks'!L41</f>
        <v>70</v>
      </c>
    </row>
    <row r="42" spans="1:20" ht="19.5" customHeight="1" x14ac:dyDescent="0.3">
      <c r="A42" s="67" t="str">
        <f>'Detailed Marks'!A42</f>
        <v>210204R</v>
      </c>
      <c r="B42" s="67" t="str">
        <f>'Detailed Marks'!B42</f>
        <v>HANSINDU K.A.A.</v>
      </c>
      <c r="C42" s="73">
        <v>3</v>
      </c>
      <c r="D42" s="73">
        <v>3</v>
      </c>
      <c r="E42" s="73">
        <v>7</v>
      </c>
      <c r="F42" s="73">
        <v>6</v>
      </c>
      <c r="G42" s="70">
        <v>5</v>
      </c>
      <c r="H42" s="73">
        <v>4</v>
      </c>
      <c r="I42" s="73">
        <v>1</v>
      </c>
      <c r="J42" s="73">
        <v>4</v>
      </c>
      <c r="K42" s="73">
        <v>3</v>
      </c>
      <c r="L42" s="73">
        <v>2</v>
      </c>
      <c r="M42" s="73">
        <v>1</v>
      </c>
      <c r="N42" s="73">
        <v>4</v>
      </c>
      <c r="O42" s="73">
        <v>2</v>
      </c>
      <c r="P42" s="73">
        <v>3</v>
      </c>
      <c r="Q42" s="73">
        <v>0</v>
      </c>
      <c r="R42" s="73">
        <v>0</v>
      </c>
      <c r="S42" s="64">
        <f t="shared" si="3"/>
        <v>48</v>
      </c>
      <c r="T42" s="3">
        <f>'Detailed Marks'!L42</f>
        <v>60.5</v>
      </c>
    </row>
    <row r="43" spans="1:20" ht="19.5" customHeight="1" x14ac:dyDescent="0.3">
      <c r="A43" s="67" t="str">
        <f>'Detailed Marks'!A43</f>
        <v>210212N</v>
      </c>
      <c r="B43" s="67" t="str">
        <f>'Detailed Marks'!B43</f>
        <v>HERATH B.H.M.K.S.B.</v>
      </c>
      <c r="C43" s="73">
        <v>1.5</v>
      </c>
      <c r="D43" s="73">
        <v>4</v>
      </c>
      <c r="E43" s="73">
        <v>6</v>
      </c>
      <c r="F43" s="73">
        <v>4</v>
      </c>
      <c r="G43" s="70">
        <v>8</v>
      </c>
      <c r="H43" s="73">
        <v>3</v>
      </c>
      <c r="I43" s="73">
        <v>2</v>
      </c>
      <c r="J43" s="73">
        <v>4</v>
      </c>
      <c r="K43" s="73">
        <v>3</v>
      </c>
      <c r="L43" s="73">
        <v>0</v>
      </c>
      <c r="M43" s="73">
        <v>0</v>
      </c>
      <c r="N43" s="73">
        <v>2</v>
      </c>
      <c r="O43" s="73">
        <v>7</v>
      </c>
      <c r="P43" s="73">
        <v>6</v>
      </c>
      <c r="Q43" s="73">
        <v>4</v>
      </c>
      <c r="R43" s="73">
        <v>0</v>
      </c>
      <c r="S43" s="64">
        <f t="shared" si="3"/>
        <v>54.5</v>
      </c>
      <c r="T43" s="3">
        <f>'Detailed Marks'!L43</f>
        <v>67</v>
      </c>
    </row>
    <row r="44" spans="1:20" ht="19.5" customHeight="1" x14ac:dyDescent="0.3">
      <c r="A44" s="67" t="str">
        <f>'Detailed Marks'!A44</f>
        <v>210215C</v>
      </c>
      <c r="B44" s="67" t="str">
        <f>'Detailed Marks'!B44</f>
        <v>HERATH H.M.D.P.</v>
      </c>
      <c r="C44" s="73">
        <v>0.5</v>
      </c>
      <c r="D44" s="73">
        <v>0</v>
      </c>
      <c r="E44" s="73">
        <v>5</v>
      </c>
      <c r="F44" s="73">
        <v>3</v>
      </c>
      <c r="G44" s="70">
        <v>5</v>
      </c>
      <c r="H44" s="73">
        <v>3</v>
      </c>
      <c r="I44" s="73">
        <v>0</v>
      </c>
      <c r="J44" s="73">
        <v>2</v>
      </c>
      <c r="K44" s="73">
        <v>2</v>
      </c>
      <c r="L44" s="73">
        <v>0</v>
      </c>
      <c r="M44" s="73">
        <v>2</v>
      </c>
      <c r="N44" s="73">
        <v>2</v>
      </c>
      <c r="O44" s="73">
        <v>3</v>
      </c>
      <c r="P44" s="73">
        <v>3</v>
      </c>
      <c r="Q44" s="73">
        <v>1</v>
      </c>
      <c r="R44" s="73">
        <v>0</v>
      </c>
      <c r="S44" s="64">
        <f t="shared" si="3"/>
        <v>31.5</v>
      </c>
      <c r="T44" s="3">
        <f>'Detailed Marks'!L44</f>
        <v>44</v>
      </c>
    </row>
    <row r="45" spans="1:20" ht="19.5" customHeight="1" x14ac:dyDescent="0.3">
      <c r="A45" s="67" t="str">
        <f>'Detailed Marks'!A45</f>
        <v>210218M</v>
      </c>
      <c r="B45" s="67" t="str">
        <f>'Detailed Marks'!B45</f>
        <v>HERATH H.M.S.I.</v>
      </c>
      <c r="C45" s="73">
        <v>2.5</v>
      </c>
      <c r="D45" s="73">
        <v>5</v>
      </c>
      <c r="E45" s="73">
        <v>6</v>
      </c>
      <c r="F45" s="73">
        <v>3</v>
      </c>
      <c r="G45" s="70">
        <v>3</v>
      </c>
      <c r="H45" s="73">
        <v>0</v>
      </c>
      <c r="I45" s="73">
        <v>1</v>
      </c>
      <c r="J45" s="73">
        <v>3</v>
      </c>
      <c r="K45" s="73">
        <v>3</v>
      </c>
      <c r="L45" s="73">
        <v>6</v>
      </c>
      <c r="M45" s="73">
        <v>0</v>
      </c>
      <c r="N45" s="73">
        <v>3</v>
      </c>
      <c r="O45" s="73">
        <v>2</v>
      </c>
      <c r="P45" s="73">
        <v>5</v>
      </c>
      <c r="Q45" s="73">
        <v>3</v>
      </c>
      <c r="R45" s="73">
        <v>0</v>
      </c>
      <c r="S45" s="64">
        <f t="shared" si="3"/>
        <v>45.5</v>
      </c>
      <c r="T45" s="3">
        <f>'Detailed Marks'!L45</f>
        <v>58</v>
      </c>
    </row>
    <row r="46" spans="1:20" ht="19.5" customHeight="1" x14ac:dyDescent="0.3">
      <c r="A46" s="67" t="str">
        <f>'Detailed Marks'!A46</f>
        <v>210222U</v>
      </c>
      <c r="B46" s="67" t="str">
        <f>'Detailed Marks'!B46</f>
        <v>HEWAGAMAGE K.L.N.</v>
      </c>
      <c r="C46" s="73">
        <v>2</v>
      </c>
      <c r="D46" s="73">
        <v>3</v>
      </c>
      <c r="E46" s="73">
        <v>4</v>
      </c>
      <c r="F46" s="73">
        <v>3</v>
      </c>
      <c r="G46" s="70">
        <v>4</v>
      </c>
      <c r="H46" s="73">
        <v>5</v>
      </c>
      <c r="I46" s="73">
        <v>2</v>
      </c>
      <c r="J46" s="73">
        <v>2</v>
      </c>
      <c r="K46" s="73">
        <v>2</v>
      </c>
      <c r="L46" s="73">
        <v>4</v>
      </c>
      <c r="M46" s="73">
        <v>0</v>
      </c>
      <c r="N46" s="73">
        <v>1</v>
      </c>
      <c r="O46" s="73">
        <v>1</v>
      </c>
      <c r="P46" s="73">
        <v>6</v>
      </c>
      <c r="Q46" s="73">
        <v>2</v>
      </c>
      <c r="R46" s="73">
        <v>3</v>
      </c>
      <c r="S46" s="64">
        <f t="shared" si="3"/>
        <v>44</v>
      </c>
      <c r="T46" s="3">
        <f>'Detailed Marks'!L46</f>
        <v>56.5</v>
      </c>
    </row>
    <row r="47" spans="1:20" ht="19.5" customHeight="1" x14ac:dyDescent="0.3">
      <c r="A47" s="67" t="str">
        <f>'Detailed Marks'!A47</f>
        <v>210234H</v>
      </c>
      <c r="B47" s="67" t="str">
        <f>'Detailed Marks'!B47</f>
        <v>JANANDITH W.A.O.</v>
      </c>
      <c r="C47" s="73">
        <v>2</v>
      </c>
      <c r="D47" s="73">
        <v>0</v>
      </c>
      <c r="E47" s="73">
        <v>7</v>
      </c>
      <c r="F47" s="73">
        <v>6</v>
      </c>
      <c r="G47" s="70">
        <v>9</v>
      </c>
      <c r="H47" s="73">
        <v>4</v>
      </c>
      <c r="I47" s="73">
        <v>2</v>
      </c>
      <c r="J47" s="73">
        <v>4</v>
      </c>
      <c r="K47" s="73">
        <v>2</v>
      </c>
      <c r="L47" s="73">
        <v>2</v>
      </c>
      <c r="M47" s="73">
        <v>3</v>
      </c>
      <c r="N47" s="73">
        <v>2</v>
      </c>
      <c r="O47" s="73">
        <v>3</v>
      </c>
      <c r="P47" s="73">
        <v>3</v>
      </c>
      <c r="Q47" s="73">
        <v>3</v>
      </c>
      <c r="R47" s="73">
        <v>1</v>
      </c>
      <c r="S47" s="64">
        <f t="shared" si="3"/>
        <v>53</v>
      </c>
      <c r="T47" s="3">
        <f>'Detailed Marks'!L47</f>
        <v>65.5</v>
      </c>
    </row>
    <row r="48" spans="1:20" ht="19.5" customHeight="1" x14ac:dyDescent="0.3">
      <c r="A48" s="67" t="str">
        <f>'Detailed Marks'!A48</f>
        <v>210236P</v>
      </c>
      <c r="B48" s="67" t="str">
        <f>'Detailed Marks'!B48</f>
        <v>JAYAKUMAR W.S.</v>
      </c>
      <c r="C48" s="73">
        <v>3</v>
      </c>
      <c r="D48" s="73">
        <v>3</v>
      </c>
      <c r="E48" s="73">
        <v>8</v>
      </c>
      <c r="F48" s="73">
        <v>3</v>
      </c>
      <c r="G48" s="70">
        <v>9</v>
      </c>
      <c r="H48" s="73">
        <v>4</v>
      </c>
      <c r="I48" s="73">
        <v>2</v>
      </c>
      <c r="J48" s="73">
        <v>4</v>
      </c>
      <c r="K48" s="73">
        <v>5</v>
      </c>
      <c r="L48" s="73">
        <v>3</v>
      </c>
      <c r="M48" s="73">
        <v>3</v>
      </c>
      <c r="N48" s="73">
        <v>2</v>
      </c>
      <c r="O48" s="73">
        <v>3</v>
      </c>
      <c r="P48" s="73">
        <v>6</v>
      </c>
      <c r="Q48" s="73">
        <v>2</v>
      </c>
      <c r="R48" s="73">
        <v>3</v>
      </c>
      <c r="S48" s="64">
        <f t="shared" si="3"/>
        <v>63</v>
      </c>
      <c r="T48" s="3">
        <f>'Detailed Marks'!L48</f>
        <v>75.5</v>
      </c>
    </row>
    <row r="49" spans="1:20" ht="19.5" customHeight="1" x14ac:dyDescent="0.3">
      <c r="A49" s="67" t="str">
        <f>'Detailed Marks'!A49</f>
        <v>210248E</v>
      </c>
      <c r="B49" s="67" t="str">
        <f>'Detailed Marks'!B49</f>
        <v>JAYASINGHE J.M.C.N.B.</v>
      </c>
      <c r="C49" s="73">
        <v>2</v>
      </c>
      <c r="D49" s="73">
        <v>0</v>
      </c>
      <c r="E49" s="73">
        <v>2</v>
      </c>
      <c r="F49" s="73">
        <v>4</v>
      </c>
      <c r="G49" s="70">
        <v>9</v>
      </c>
      <c r="H49" s="73">
        <v>3</v>
      </c>
      <c r="I49" s="73">
        <v>0</v>
      </c>
      <c r="J49" s="73">
        <v>0</v>
      </c>
      <c r="K49" s="73">
        <v>3</v>
      </c>
      <c r="L49" s="73">
        <v>2</v>
      </c>
      <c r="M49" s="73">
        <v>0</v>
      </c>
      <c r="N49" s="73">
        <v>3</v>
      </c>
      <c r="O49" s="73">
        <v>0</v>
      </c>
      <c r="P49" s="73">
        <v>0</v>
      </c>
      <c r="Q49" s="73">
        <v>2</v>
      </c>
      <c r="R49" s="73">
        <v>2</v>
      </c>
      <c r="S49" s="64">
        <f t="shared" si="3"/>
        <v>32</v>
      </c>
      <c r="T49" s="3">
        <f>'Detailed Marks'!L49</f>
        <v>44.5</v>
      </c>
    </row>
    <row r="50" spans="1:20" ht="19.5" customHeight="1" x14ac:dyDescent="0.3">
      <c r="A50" s="67" t="str">
        <f>'Detailed Marks'!A50</f>
        <v>210253N</v>
      </c>
      <c r="B50" s="67" t="str">
        <f>'Detailed Marks'!B50</f>
        <v>JAYATHILAKA C.B.N.L.</v>
      </c>
      <c r="C50" s="73">
        <v>1.5</v>
      </c>
      <c r="D50" s="73">
        <v>4</v>
      </c>
      <c r="E50" s="73">
        <v>3</v>
      </c>
      <c r="F50" s="73">
        <v>5</v>
      </c>
      <c r="G50" s="70">
        <v>10</v>
      </c>
      <c r="H50" s="73">
        <v>0</v>
      </c>
      <c r="I50" s="73">
        <v>0</v>
      </c>
      <c r="J50" s="73">
        <v>4</v>
      </c>
      <c r="K50" s="73">
        <v>2</v>
      </c>
      <c r="L50" s="73">
        <v>8</v>
      </c>
      <c r="M50" s="73">
        <v>2</v>
      </c>
      <c r="N50" s="73">
        <v>0</v>
      </c>
      <c r="O50" s="73">
        <v>6</v>
      </c>
      <c r="P50" s="73">
        <v>5</v>
      </c>
      <c r="Q50" s="73">
        <v>5</v>
      </c>
      <c r="R50" s="73">
        <v>0</v>
      </c>
      <c r="S50" s="64">
        <f t="shared" si="3"/>
        <v>55.5</v>
      </c>
      <c r="T50" s="3">
        <f>'Detailed Marks'!L50</f>
        <v>68</v>
      </c>
    </row>
    <row r="51" spans="1:20" ht="19.5" customHeight="1" x14ac:dyDescent="0.3">
      <c r="A51" s="67" t="str">
        <f>'Detailed Marks'!A51</f>
        <v>210254T</v>
      </c>
      <c r="B51" s="67" t="str">
        <f>'Detailed Marks'!B51</f>
        <v>JAYATHILAKA D.E.U.</v>
      </c>
      <c r="C51" s="73">
        <v>2.5</v>
      </c>
      <c r="D51" s="73">
        <v>1</v>
      </c>
      <c r="E51" s="73">
        <v>7</v>
      </c>
      <c r="F51" s="73">
        <v>5</v>
      </c>
      <c r="G51" s="70">
        <v>9</v>
      </c>
      <c r="H51" s="73">
        <v>3</v>
      </c>
      <c r="I51" s="73">
        <v>2</v>
      </c>
      <c r="J51" s="73">
        <v>2</v>
      </c>
      <c r="K51" s="73">
        <v>2</v>
      </c>
      <c r="L51" s="73">
        <v>2</v>
      </c>
      <c r="M51" s="73">
        <v>1</v>
      </c>
      <c r="N51" s="73">
        <v>3</v>
      </c>
      <c r="O51" s="73">
        <v>5</v>
      </c>
      <c r="P51" s="73">
        <v>4</v>
      </c>
      <c r="Q51" s="73">
        <v>2</v>
      </c>
      <c r="R51" s="73">
        <v>0</v>
      </c>
      <c r="S51" s="64">
        <f t="shared" si="3"/>
        <v>50.5</v>
      </c>
      <c r="T51" s="3">
        <f>'Detailed Marks'!L51</f>
        <v>63</v>
      </c>
    </row>
    <row r="52" spans="1:20" ht="19.5" customHeight="1" x14ac:dyDescent="0.3">
      <c r="A52" s="67" t="str">
        <f>'Detailed Marks'!A52</f>
        <v>210258J</v>
      </c>
      <c r="B52" s="67" t="str">
        <f>'Detailed Marks'!B52</f>
        <v>JAYATHISSA R.M.K.C.</v>
      </c>
      <c r="C52" s="73">
        <v>1.5</v>
      </c>
      <c r="D52" s="73">
        <v>5</v>
      </c>
      <c r="E52" s="73">
        <v>6</v>
      </c>
      <c r="F52" s="73">
        <v>4</v>
      </c>
      <c r="G52" s="70">
        <v>9</v>
      </c>
      <c r="H52" s="73">
        <v>5</v>
      </c>
      <c r="I52" s="73">
        <v>2</v>
      </c>
      <c r="J52" s="73">
        <v>4</v>
      </c>
      <c r="K52" s="73">
        <v>1</v>
      </c>
      <c r="L52" s="73">
        <v>4</v>
      </c>
      <c r="M52" s="73">
        <v>1</v>
      </c>
      <c r="N52" s="73">
        <v>2</v>
      </c>
      <c r="O52" s="73">
        <v>5</v>
      </c>
      <c r="P52" s="73">
        <v>2</v>
      </c>
      <c r="Q52" s="73">
        <v>2</v>
      </c>
      <c r="R52" s="73">
        <v>0</v>
      </c>
      <c r="S52" s="64">
        <f t="shared" si="3"/>
        <v>53.5</v>
      </c>
      <c r="T52" s="3">
        <f>'Detailed Marks'!L52</f>
        <v>66</v>
      </c>
    </row>
    <row r="53" spans="1:20" ht="19.5" customHeight="1" x14ac:dyDescent="0.3">
      <c r="A53" s="67" t="str">
        <f>'Detailed Marks'!A53</f>
        <v>210269T</v>
      </c>
      <c r="B53" s="67" t="str">
        <f>'Detailed Marks'!B53</f>
        <v>KALUNAYAKA K.A.A.K.L.</v>
      </c>
      <c r="C53" s="73">
        <v>1.5</v>
      </c>
      <c r="D53" s="73">
        <v>2</v>
      </c>
      <c r="E53" s="73">
        <v>5</v>
      </c>
      <c r="F53" s="73">
        <v>4</v>
      </c>
      <c r="G53" s="70">
        <v>8</v>
      </c>
      <c r="H53" s="73">
        <v>0</v>
      </c>
      <c r="I53" s="73">
        <v>2</v>
      </c>
      <c r="J53" s="73">
        <v>1</v>
      </c>
      <c r="K53" s="73">
        <v>0</v>
      </c>
      <c r="L53" s="73">
        <v>0</v>
      </c>
      <c r="M53" s="73">
        <v>1</v>
      </c>
      <c r="N53" s="73">
        <v>1</v>
      </c>
      <c r="O53" s="73">
        <v>1</v>
      </c>
      <c r="P53" s="73">
        <v>5</v>
      </c>
      <c r="Q53" s="73">
        <v>0</v>
      </c>
      <c r="R53" s="73">
        <v>0</v>
      </c>
      <c r="S53" s="64">
        <f t="shared" si="3"/>
        <v>31.5</v>
      </c>
      <c r="T53" s="3">
        <f>'Detailed Marks'!L53</f>
        <v>44</v>
      </c>
    </row>
    <row r="54" spans="1:20" ht="19.5" customHeight="1" x14ac:dyDescent="0.3">
      <c r="A54" s="67" t="str">
        <f>'Detailed Marks'!A54</f>
        <v>210272V</v>
      </c>
      <c r="B54" s="67" t="str">
        <f>'Detailed Marks'!B54</f>
        <v>KARAVITA K.V.D.T.N.</v>
      </c>
      <c r="C54" s="73">
        <v>1.5</v>
      </c>
      <c r="D54" s="73">
        <v>4</v>
      </c>
      <c r="E54" s="73">
        <v>9</v>
      </c>
      <c r="F54" s="73">
        <v>5</v>
      </c>
      <c r="G54" s="70">
        <v>8</v>
      </c>
      <c r="H54" s="73">
        <v>3</v>
      </c>
      <c r="I54" s="73">
        <v>2</v>
      </c>
      <c r="J54" s="73">
        <v>4</v>
      </c>
      <c r="K54" s="73">
        <v>3</v>
      </c>
      <c r="L54" s="73">
        <v>4</v>
      </c>
      <c r="M54" s="73">
        <v>2</v>
      </c>
      <c r="N54" s="73">
        <v>2</v>
      </c>
      <c r="O54" s="73">
        <v>3</v>
      </c>
      <c r="P54" s="73">
        <v>6</v>
      </c>
      <c r="Q54" s="73">
        <v>5</v>
      </c>
      <c r="R54" s="73">
        <v>1</v>
      </c>
      <c r="S54" s="64">
        <f t="shared" si="3"/>
        <v>62.5</v>
      </c>
      <c r="T54" s="3">
        <f>'Detailed Marks'!L54</f>
        <v>76</v>
      </c>
    </row>
    <row r="55" spans="1:20" ht="19.5" customHeight="1" x14ac:dyDescent="0.3">
      <c r="A55" s="67" t="str">
        <f>'Detailed Marks'!A55</f>
        <v>210286R</v>
      </c>
      <c r="B55" s="67" t="str">
        <f>'Detailed Marks'!B55</f>
        <v>KELAART D.J.</v>
      </c>
      <c r="C55" s="73">
        <v>3</v>
      </c>
      <c r="D55" s="73">
        <v>1</v>
      </c>
      <c r="E55" s="73">
        <v>4</v>
      </c>
      <c r="F55" s="73">
        <v>2</v>
      </c>
      <c r="G55" s="70">
        <v>2</v>
      </c>
      <c r="H55" s="73">
        <v>3</v>
      </c>
      <c r="I55" s="73">
        <v>0</v>
      </c>
      <c r="J55" s="73">
        <v>0</v>
      </c>
      <c r="K55" s="73">
        <v>2</v>
      </c>
      <c r="L55" s="73">
        <v>0</v>
      </c>
      <c r="M55" s="73">
        <v>1</v>
      </c>
      <c r="N55" s="73">
        <v>1</v>
      </c>
      <c r="O55" s="73">
        <v>0</v>
      </c>
      <c r="P55" s="73">
        <v>0</v>
      </c>
      <c r="Q55" s="73">
        <v>0</v>
      </c>
      <c r="R55" s="73">
        <v>0</v>
      </c>
      <c r="S55" s="64">
        <f t="shared" si="3"/>
        <v>19</v>
      </c>
      <c r="T55" s="3">
        <f>'Detailed Marks'!L55</f>
        <v>35</v>
      </c>
    </row>
    <row r="56" spans="1:20" ht="19.5" customHeight="1" x14ac:dyDescent="0.3">
      <c r="A56" s="67" t="str">
        <f>'Detailed Marks'!A56</f>
        <v>210292G</v>
      </c>
      <c r="B56" s="67" t="str">
        <f>'Detailed Marks'!B56</f>
        <v>KIRUSHANTH G.</v>
      </c>
      <c r="C56" s="73">
        <v>2</v>
      </c>
      <c r="D56" s="73">
        <v>2</v>
      </c>
      <c r="E56" s="73">
        <v>8</v>
      </c>
      <c r="F56" s="73">
        <v>6</v>
      </c>
      <c r="G56" s="70">
        <v>9</v>
      </c>
      <c r="H56" s="73">
        <v>4</v>
      </c>
      <c r="I56" s="73">
        <v>2</v>
      </c>
      <c r="J56" s="73">
        <v>1</v>
      </c>
      <c r="K56" s="73">
        <v>4</v>
      </c>
      <c r="L56" s="73">
        <v>5</v>
      </c>
      <c r="M56" s="73">
        <v>0</v>
      </c>
      <c r="N56" s="73">
        <v>1</v>
      </c>
      <c r="O56" s="73">
        <v>1</v>
      </c>
      <c r="P56" s="73">
        <v>0</v>
      </c>
      <c r="Q56" s="73">
        <v>3</v>
      </c>
      <c r="R56" s="73">
        <v>0</v>
      </c>
      <c r="S56" s="64">
        <f t="shared" si="3"/>
        <v>48</v>
      </c>
      <c r="T56" s="3">
        <f>'Detailed Marks'!L56</f>
        <v>60.5</v>
      </c>
    </row>
    <row r="57" spans="1:20" ht="19.5" customHeight="1" x14ac:dyDescent="0.3">
      <c r="A57" s="67" t="str">
        <f>'Detailed Marks'!A57</f>
        <v>210293K</v>
      </c>
      <c r="B57" s="67" t="str">
        <f>'Detailed Marks'!B57</f>
        <v>KODIKARA U.S.S.</v>
      </c>
      <c r="C57" s="73">
        <v>3</v>
      </c>
      <c r="D57" s="73">
        <v>4</v>
      </c>
      <c r="E57" s="73">
        <v>8</v>
      </c>
      <c r="F57" s="73">
        <v>6</v>
      </c>
      <c r="G57" s="70">
        <v>5</v>
      </c>
      <c r="H57" s="73">
        <v>6</v>
      </c>
      <c r="I57" s="73">
        <v>3</v>
      </c>
      <c r="J57" s="73">
        <v>4</v>
      </c>
      <c r="K57" s="73">
        <v>5</v>
      </c>
      <c r="L57" s="73">
        <v>0</v>
      </c>
      <c r="M57" s="73">
        <v>0</v>
      </c>
      <c r="N57" s="73">
        <v>4</v>
      </c>
      <c r="O57" s="73">
        <v>7</v>
      </c>
      <c r="P57" s="73">
        <v>5</v>
      </c>
      <c r="Q57" s="73">
        <v>3</v>
      </c>
      <c r="R57" s="73">
        <v>0</v>
      </c>
      <c r="S57" s="64">
        <f t="shared" si="3"/>
        <v>63</v>
      </c>
      <c r="T57" s="3">
        <f>'Detailed Marks'!L57</f>
        <v>75.8</v>
      </c>
    </row>
    <row r="58" spans="1:20" ht="19.5" customHeight="1" x14ac:dyDescent="0.3">
      <c r="A58" s="67" t="str">
        <f>'Detailed Marks'!A58</f>
        <v>210294N</v>
      </c>
      <c r="B58" s="67" t="str">
        <f>'Detailed Marks'!B58</f>
        <v>KODITHUWAKKU J.N.</v>
      </c>
      <c r="C58" s="73">
        <v>2</v>
      </c>
      <c r="D58" s="73">
        <v>2</v>
      </c>
      <c r="E58" s="73">
        <v>7</v>
      </c>
      <c r="F58" s="73">
        <v>5</v>
      </c>
      <c r="G58" s="73">
        <v>9</v>
      </c>
      <c r="H58" s="73">
        <v>3</v>
      </c>
      <c r="I58" s="73">
        <v>2</v>
      </c>
      <c r="J58" s="73">
        <v>3</v>
      </c>
      <c r="K58" s="73">
        <v>2</v>
      </c>
      <c r="L58" s="73">
        <v>2</v>
      </c>
      <c r="M58" s="73">
        <v>1</v>
      </c>
      <c r="N58" s="73">
        <v>3</v>
      </c>
      <c r="O58" s="73">
        <v>5</v>
      </c>
      <c r="P58" s="73">
        <v>5</v>
      </c>
      <c r="Q58" s="73">
        <v>3</v>
      </c>
      <c r="R58" s="73">
        <v>2</v>
      </c>
      <c r="S58" s="64">
        <f>SUM(C58:R58)</f>
        <v>56</v>
      </c>
      <c r="T58" s="3">
        <f>'Detailed Marks'!L58</f>
        <v>68.5</v>
      </c>
    </row>
    <row r="59" spans="1:20" ht="19.5" customHeight="1" x14ac:dyDescent="0.3">
      <c r="A59" s="67" t="str">
        <f>'Detailed Marks'!A59</f>
        <v>210303U</v>
      </c>
      <c r="B59" s="67" t="str">
        <f>'Detailed Marks'!B59</f>
        <v>KULASINGHAM P.N.</v>
      </c>
      <c r="C59" s="73">
        <v>1.5</v>
      </c>
      <c r="D59" s="73">
        <v>2</v>
      </c>
      <c r="E59" s="73">
        <v>5</v>
      </c>
      <c r="F59" s="73">
        <v>4</v>
      </c>
      <c r="G59" s="70">
        <v>9</v>
      </c>
      <c r="H59" s="73">
        <v>2</v>
      </c>
      <c r="I59" s="73">
        <v>2</v>
      </c>
      <c r="J59" s="73">
        <v>1</v>
      </c>
      <c r="K59" s="73">
        <v>2</v>
      </c>
      <c r="L59" s="73">
        <v>4</v>
      </c>
      <c r="M59" s="73">
        <v>1</v>
      </c>
      <c r="N59" s="73">
        <v>1</v>
      </c>
      <c r="O59" s="73">
        <v>3</v>
      </c>
      <c r="P59" s="73">
        <v>2</v>
      </c>
      <c r="Q59" s="73">
        <v>1</v>
      </c>
      <c r="R59" s="73">
        <v>0</v>
      </c>
      <c r="S59" s="64">
        <f t="shared" si="3"/>
        <v>40.5</v>
      </c>
      <c r="T59" s="3">
        <f>'Detailed Marks'!L59</f>
        <v>53</v>
      </c>
    </row>
    <row r="60" spans="1:20" ht="19.5" customHeight="1" x14ac:dyDescent="0.3">
      <c r="A60" s="67" t="str">
        <f>'Detailed Marks'!A60</f>
        <v>210311R</v>
      </c>
      <c r="B60" s="67" t="str">
        <f>'Detailed Marks'!B60</f>
        <v>KUMARA R.P.D.R.</v>
      </c>
      <c r="C60" s="73">
        <v>2</v>
      </c>
      <c r="D60" s="73">
        <v>0</v>
      </c>
      <c r="E60" s="73">
        <v>6</v>
      </c>
      <c r="F60" s="73">
        <v>5</v>
      </c>
      <c r="G60" s="70">
        <v>0</v>
      </c>
      <c r="H60" s="73">
        <v>3</v>
      </c>
      <c r="I60" s="73">
        <v>2</v>
      </c>
      <c r="J60" s="73">
        <v>4</v>
      </c>
      <c r="K60" s="73">
        <v>3</v>
      </c>
      <c r="L60" s="73">
        <v>0</v>
      </c>
      <c r="M60" s="73">
        <v>3</v>
      </c>
      <c r="N60" s="73">
        <v>1</v>
      </c>
      <c r="O60" s="73">
        <v>0</v>
      </c>
      <c r="P60" s="73">
        <v>2</v>
      </c>
      <c r="Q60" s="73">
        <v>1</v>
      </c>
      <c r="R60" s="73">
        <v>0</v>
      </c>
      <c r="S60" s="64">
        <f t="shared" si="3"/>
        <v>32</v>
      </c>
      <c r="T60" s="3">
        <f>'Detailed Marks'!L60</f>
        <v>44.5</v>
      </c>
    </row>
    <row r="61" spans="1:20" ht="19.5" customHeight="1" x14ac:dyDescent="0.3">
      <c r="A61" s="67" t="str">
        <f>'Detailed Marks'!A61</f>
        <v>210325M</v>
      </c>
      <c r="B61" s="67" t="str">
        <f>'Detailed Marks'!B61</f>
        <v>KURUPPU M.P</v>
      </c>
      <c r="C61" s="73">
        <v>2.5</v>
      </c>
      <c r="D61" s="73">
        <v>3</v>
      </c>
      <c r="E61" s="73">
        <v>5</v>
      </c>
      <c r="F61" s="73">
        <v>5</v>
      </c>
      <c r="G61" s="70">
        <v>7</v>
      </c>
      <c r="H61" s="73">
        <v>3</v>
      </c>
      <c r="I61" s="73">
        <v>2</v>
      </c>
      <c r="J61" s="73">
        <v>3</v>
      </c>
      <c r="K61" s="73">
        <v>2</v>
      </c>
      <c r="L61" s="73">
        <v>0</v>
      </c>
      <c r="M61" s="73">
        <v>3</v>
      </c>
      <c r="N61" s="73">
        <v>2</v>
      </c>
      <c r="O61" s="73">
        <v>5</v>
      </c>
      <c r="P61" s="73">
        <v>4</v>
      </c>
      <c r="Q61" s="73">
        <v>2</v>
      </c>
      <c r="R61" s="73">
        <v>0</v>
      </c>
      <c r="S61" s="64">
        <f t="shared" si="3"/>
        <v>48.5</v>
      </c>
      <c r="T61" s="3">
        <f>'Detailed Marks'!L61</f>
        <v>61</v>
      </c>
    </row>
    <row r="62" spans="1:20" ht="19.5" customHeight="1" x14ac:dyDescent="0.3">
      <c r="A62" s="67" t="str">
        <f>'Detailed Marks'!A62</f>
        <v>210341H</v>
      </c>
      <c r="B62" s="67" t="str">
        <f>'Detailed Marks'!B62</f>
        <v>LIYANAARACHCHI L.A.S.</v>
      </c>
      <c r="C62" s="73">
        <v>1</v>
      </c>
      <c r="D62" s="73">
        <v>2</v>
      </c>
      <c r="E62" s="73">
        <v>4</v>
      </c>
      <c r="F62" s="73">
        <v>3</v>
      </c>
      <c r="G62" s="70">
        <v>9</v>
      </c>
      <c r="H62" s="73">
        <v>3</v>
      </c>
      <c r="I62" s="73">
        <v>2</v>
      </c>
      <c r="J62" s="73">
        <v>4</v>
      </c>
      <c r="K62" s="73">
        <v>2</v>
      </c>
      <c r="L62" s="73">
        <v>6</v>
      </c>
      <c r="M62" s="73">
        <v>2</v>
      </c>
      <c r="N62" s="73">
        <v>2</v>
      </c>
      <c r="O62" s="73">
        <v>0</v>
      </c>
      <c r="P62" s="73">
        <v>1</v>
      </c>
      <c r="Q62" s="73">
        <v>0</v>
      </c>
      <c r="R62" s="73">
        <v>0</v>
      </c>
      <c r="S62" s="64">
        <f t="shared" si="3"/>
        <v>41</v>
      </c>
      <c r="T62" s="3">
        <f>'Detailed Marks'!L62</f>
        <v>53.5</v>
      </c>
    </row>
    <row r="63" spans="1:20" ht="19.5" customHeight="1" x14ac:dyDescent="0.3">
      <c r="A63" s="67" t="str">
        <f>'Detailed Marks'!A63</f>
        <v>210344U</v>
      </c>
      <c r="B63" s="67" t="str">
        <f>'Detailed Marks'!B63</f>
        <v>LIYANAGE P.L.D.S.K.</v>
      </c>
      <c r="C63" s="73">
        <v>2</v>
      </c>
      <c r="D63" s="73">
        <v>2</v>
      </c>
      <c r="E63" s="73">
        <v>5</v>
      </c>
      <c r="F63" s="73">
        <v>6</v>
      </c>
      <c r="G63" s="70">
        <v>9</v>
      </c>
      <c r="H63" s="73">
        <v>2</v>
      </c>
      <c r="I63" s="73">
        <v>2</v>
      </c>
      <c r="J63" s="73">
        <v>1</v>
      </c>
      <c r="K63" s="73">
        <v>2</v>
      </c>
      <c r="L63" s="73">
        <v>6</v>
      </c>
      <c r="M63" s="73">
        <v>2</v>
      </c>
      <c r="N63" s="73">
        <v>3</v>
      </c>
      <c r="O63" s="73">
        <v>1</v>
      </c>
      <c r="P63" s="73">
        <v>4</v>
      </c>
      <c r="Q63" s="73">
        <v>3</v>
      </c>
      <c r="R63" s="73">
        <v>0</v>
      </c>
      <c r="S63" s="64">
        <f t="shared" si="3"/>
        <v>50</v>
      </c>
      <c r="T63" s="3">
        <f>'Detailed Marks'!L63</f>
        <v>62.5</v>
      </c>
    </row>
    <row r="64" spans="1:20" ht="19.5" customHeight="1" x14ac:dyDescent="0.3">
      <c r="A64" s="67" t="str">
        <f>'Detailed Marks'!A64</f>
        <v>210346D</v>
      </c>
      <c r="B64" s="67" t="str">
        <f>'Detailed Marks'!B64</f>
        <v>LOKUDADALLA L.D.S.D.</v>
      </c>
      <c r="C64" s="73">
        <v>1.5</v>
      </c>
      <c r="D64" s="73">
        <v>3</v>
      </c>
      <c r="E64" s="73">
        <v>7</v>
      </c>
      <c r="F64" s="73">
        <v>5</v>
      </c>
      <c r="G64" s="70">
        <v>4</v>
      </c>
      <c r="H64" s="73">
        <v>2</v>
      </c>
      <c r="I64" s="73">
        <v>2</v>
      </c>
      <c r="J64" s="73">
        <v>3</v>
      </c>
      <c r="K64" s="73">
        <v>3</v>
      </c>
      <c r="L64" s="73">
        <v>0</v>
      </c>
      <c r="M64" s="73">
        <v>1</v>
      </c>
      <c r="N64" s="73">
        <v>2</v>
      </c>
      <c r="O64" s="73">
        <v>3</v>
      </c>
      <c r="P64" s="73">
        <v>6</v>
      </c>
      <c r="Q64" s="73">
        <v>2</v>
      </c>
      <c r="R64" s="73">
        <v>1</v>
      </c>
      <c r="S64" s="64">
        <f t="shared" si="3"/>
        <v>45.5</v>
      </c>
      <c r="T64" s="3">
        <f>'Detailed Marks'!L64</f>
        <v>58</v>
      </c>
    </row>
    <row r="65" spans="1:20" ht="19.5" customHeight="1" x14ac:dyDescent="0.3">
      <c r="A65" s="67" t="str">
        <f>'Detailed Marks'!A65</f>
        <v>210349N</v>
      </c>
      <c r="B65" s="67" t="str">
        <f>'Detailed Marks'!B65</f>
        <v>MADHUSHAN I.D.</v>
      </c>
      <c r="C65" s="73">
        <v>0</v>
      </c>
      <c r="D65" s="73">
        <v>2</v>
      </c>
      <c r="E65" s="73">
        <v>5</v>
      </c>
      <c r="F65" s="73">
        <v>6</v>
      </c>
      <c r="G65" s="70">
        <v>7</v>
      </c>
      <c r="H65" s="73">
        <v>3</v>
      </c>
      <c r="I65" s="73">
        <v>2</v>
      </c>
      <c r="J65" s="73">
        <v>1</v>
      </c>
      <c r="K65" s="73">
        <v>5</v>
      </c>
      <c r="L65" s="73">
        <v>2</v>
      </c>
      <c r="M65" s="73">
        <v>1</v>
      </c>
      <c r="N65" s="73">
        <v>2</v>
      </c>
      <c r="O65" s="73">
        <v>1</v>
      </c>
      <c r="P65" s="73">
        <v>1</v>
      </c>
      <c r="Q65" s="73">
        <v>3</v>
      </c>
      <c r="R65" s="73">
        <v>1</v>
      </c>
      <c r="S65" s="64">
        <f t="shared" si="3"/>
        <v>42</v>
      </c>
      <c r="T65" s="3">
        <f>'Detailed Marks'!L65</f>
        <v>54.5</v>
      </c>
    </row>
    <row r="66" spans="1:20" ht="19.5" customHeight="1" x14ac:dyDescent="0.3">
      <c r="A66" s="67" t="str">
        <f>'Detailed Marks'!A66</f>
        <v>210378C</v>
      </c>
      <c r="B66" s="67" t="str">
        <f>'Detailed Marks'!B66</f>
        <v>MAPALAGAMA O.N.</v>
      </c>
      <c r="C66" s="73">
        <v>3</v>
      </c>
      <c r="D66" s="73">
        <v>1</v>
      </c>
      <c r="E66" s="73">
        <v>1</v>
      </c>
      <c r="F66" s="73">
        <v>6</v>
      </c>
      <c r="G66" s="70">
        <v>1</v>
      </c>
      <c r="H66" s="73">
        <v>3</v>
      </c>
      <c r="I66" s="73">
        <v>2</v>
      </c>
      <c r="J66" s="73">
        <v>2</v>
      </c>
      <c r="K66" s="73">
        <v>3</v>
      </c>
      <c r="L66" s="73">
        <v>0</v>
      </c>
      <c r="M66" s="73">
        <v>1</v>
      </c>
      <c r="N66" s="73">
        <v>4</v>
      </c>
      <c r="O66" s="73">
        <v>2</v>
      </c>
      <c r="P66" s="73">
        <v>0</v>
      </c>
      <c r="Q66" s="73">
        <v>3</v>
      </c>
      <c r="R66" s="73">
        <v>0</v>
      </c>
      <c r="S66" s="64">
        <f t="shared" si="3"/>
        <v>32</v>
      </c>
      <c r="T66" s="3">
        <f>'Detailed Marks'!L66</f>
        <v>44.5</v>
      </c>
    </row>
    <row r="67" spans="1:20" ht="19.5" customHeight="1" x14ac:dyDescent="0.3">
      <c r="A67" s="67" t="str">
        <f>'Detailed Marks'!A67</f>
        <v>210391J</v>
      </c>
      <c r="B67" s="67" t="str">
        <f>'Detailed Marks'!B67</f>
        <v>MORAWAKGODA M.K.I.G.</v>
      </c>
      <c r="C67" s="73">
        <v>2.5</v>
      </c>
      <c r="D67" s="73">
        <v>1</v>
      </c>
      <c r="E67" s="73">
        <v>6</v>
      </c>
      <c r="F67" s="73">
        <v>6</v>
      </c>
      <c r="G67" s="70">
        <v>9</v>
      </c>
      <c r="H67" s="73">
        <v>2</v>
      </c>
      <c r="I67" s="73">
        <v>2</v>
      </c>
      <c r="J67" s="73">
        <v>1</v>
      </c>
      <c r="K67" s="73">
        <v>2</v>
      </c>
      <c r="L67" s="73">
        <v>5</v>
      </c>
      <c r="M67" s="73">
        <v>2</v>
      </c>
      <c r="N67" s="73">
        <v>2</v>
      </c>
      <c r="O67" s="73">
        <v>3</v>
      </c>
      <c r="P67" s="73">
        <v>2</v>
      </c>
      <c r="Q67" s="73">
        <v>3</v>
      </c>
      <c r="R67" s="73">
        <v>1</v>
      </c>
      <c r="S67" s="64">
        <f t="shared" si="3"/>
        <v>49.5</v>
      </c>
      <c r="T67" s="3">
        <f>'Detailed Marks'!L67</f>
        <v>62</v>
      </c>
    </row>
    <row r="68" spans="1:20" ht="19.5" customHeight="1" x14ac:dyDescent="0.3">
      <c r="A68" s="67" t="str">
        <f>'Detailed Marks'!A68</f>
        <v>210418C</v>
      </c>
      <c r="B68" s="67" t="str">
        <f>'Detailed Marks'!B68</f>
        <v>NAYANTHARA J.N.P.</v>
      </c>
      <c r="C68" s="73">
        <v>2.5</v>
      </c>
      <c r="D68" s="73">
        <v>3</v>
      </c>
      <c r="E68" s="73">
        <v>6</v>
      </c>
      <c r="F68" s="73">
        <v>4</v>
      </c>
      <c r="G68" s="70">
        <v>9</v>
      </c>
      <c r="H68" s="73">
        <v>4</v>
      </c>
      <c r="I68" s="73">
        <v>2</v>
      </c>
      <c r="J68" s="73">
        <v>4</v>
      </c>
      <c r="K68" s="73">
        <v>3</v>
      </c>
      <c r="L68" s="73">
        <v>4</v>
      </c>
      <c r="M68" s="73">
        <v>4</v>
      </c>
      <c r="N68" s="73">
        <v>3</v>
      </c>
      <c r="O68" s="73">
        <v>5</v>
      </c>
      <c r="P68" s="73">
        <v>5</v>
      </c>
      <c r="Q68" s="73">
        <v>2</v>
      </c>
      <c r="R68" s="73">
        <v>0</v>
      </c>
      <c r="S68" s="64">
        <f t="shared" si="3"/>
        <v>60.5</v>
      </c>
      <c r="T68" s="3">
        <f>'Detailed Marks'!L68</f>
        <v>73.099999999999994</v>
      </c>
    </row>
    <row r="69" spans="1:20" ht="19.5" customHeight="1" x14ac:dyDescent="0.3">
      <c r="A69" s="67" t="str">
        <f>'Detailed Marks'!A69</f>
        <v>210433R</v>
      </c>
      <c r="B69" s="67" t="str">
        <f>'Detailed Marks'!B69</f>
        <v>NIROSHAN E.M.A.R.</v>
      </c>
      <c r="C69" s="73">
        <v>0</v>
      </c>
      <c r="D69" s="73">
        <v>2</v>
      </c>
      <c r="E69" s="73">
        <v>2</v>
      </c>
      <c r="F69" s="73">
        <v>4</v>
      </c>
      <c r="G69" s="70">
        <v>2</v>
      </c>
      <c r="H69" s="73">
        <v>2</v>
      </c>
      <c r="I69" s="73">
        <v>2</v>
      </c>
      <c r="J69" s="73">
        <v>3</v>
      </c>
      <c r="K69" s="73">
        <v>2</v>
      </c>
      <c r="L69" s="73">
        <v>0</v>
      </c>
      <c r="M69" s="73">
        <v>0</v>
      </c>
      <c r="N69" s="73">
        <v>0</v>
      </c>
      <c r="O69" s="73">
        <v>4</v>
      </c>
      <c r="P69" s="73">
        <v>2</v>
      </c>
      <c r="Q69" s="73">
        <v>1</v>
      </c>
      <c r="R69" s="73">
        <v>0</v>
      </c>
      <c r="S69" s="64">
        <f t="shared" si="3"/>
        <v>26</v>
      </c>
      <c r="T69" s="3">
        <f>'Detailed Marks'!L69</f>
        <v>38.5</v>
      </c>
    </row>
    <row r="70" spans="1:20" ht="19.5" customHeight="1" x14ac:dyDescent="0.3">
      <c r="A70" s="67" t="str">
        <f>'Detailed Marks'!A70</f>
        <v>210436E</v>
      </c>
      <c r="B70" s="67" t="str">
        <f>'Detailed Marks'!B70</f>
        <v>NIROSHANA H.K.Y.</v>
      </c>
      <c r="C70" s="73">
        <v>3</v>
      </c>
      <c r="D70" s="73">
        <v>5</v>
      </c>
      <c r="E70" s="73">
        <v>4</v>
      </c>
      <c r="F70" s="73">
        <v>6</v>
      </c>
      <c r="G70" s="70">
        <v>9</v>
      </c>
      <c r="H70" s="73">
        <v>3</v>
      </c>
      <c r="I70" s="73">
        <v>1</v>
      </c>
      <c r="J70" s="73">
        <v>3</v>
      </c>
      <c r="K70" s="73">
        <v>3</v>
      </c>
      <c r="L70" s="73">
        <v>3</v>
      </c>
      <c r="M70" s="73">
        <v>1</v>
      </c>
      <c r="N70" s="73">
        <v>3</v>
      </c>
      <c r="O70" s="73">
        <v>3</v>
      </c>
      <c r="P70" s="73">
        <v>2</v>
      </c>
      <c r="Q70" s="73">
        <v>3</v>
      </c>
      <c r="R70" s="73">
        <v>1</v>
      </c>
      <c r="S70" s="64">
        <f t="shared" si="3"/>
        <v>53</v>
      </c>
      <c r="T70" s="3">
        <f>'Detailed Marks'!L70</f>
        <v>65.5</v>
      </c>
    </row>
    <row r="71" spans="1:20" ht="19.5" customHeight="1" x14ac:dyDescent="0.3">
      <c r="A71" s="67" t="str">
        <f>'Detailed Marks'!A71</f>
        <v>210452A</v>
      </c>
      <c r="B71" s="67" t="str">
        <f>'Detailed Marks'!B71</f>
        <v>PATHIRANA S.M.V.</v>
      </c>
      <c r="C71" s="73">
        <v>3</v>
      </c>
      <c r="D71" s="73">
        <v>0</v>
      </c>
      <c r="E71" s="73">
        <v>5</v>
      </c>
      <c r="F71" s="73">
        <v>5</v>
      </c>
      <c r="G71" s="70">
        <v>9</v>
      </c>
      <c r="H71" s="73">
        <v>3</v>
      </c>
      <c r="I71" s="73">
        <v>2</v>
      </c>
      <c r="J71" s="73">
        <v>1</v>
      </c>
      <c r="K71" s="73">
        <v>2</v>
      </c>
      <c r="L71" s="73">
        <v>0</v>
      </c>
      <c r="M71" s="73">
        <v>0</v>
      </c>
      <c r="N71" s="73">
        <v>1</v>
      </c>
      <c r="O71" s="73">
        <v>3</v>
      </c>
      <c r="P71" s="73">
        <v>0</v>
      </c>
      <c r="Q71" s="73">
        <v>2</v>
      </c>
      <c r="R71" s="73">
        <v>1</v>
      </c>
      <c r="S71" s="64">
        <f t="shared" si="3"/>
        <v>37</v>
      </c>
      <c r="T71" s="3">
        <f>'Detailed Marks'!L71</f>
        <v>49.5</v>
      </c>
    </row>
    <row r="72" spans="1:20" ht="19.5" customHeight="1" x14ac:dyDescent="0.3">
      <c r="A72" s="67" t="str">
        <f>'Detailed Marks'!A72</f>
        <v>210454G</v>
      </c>
      <c r="B72" s="67" t="str">
        <f>'Detailed Marks'!B72</f>
        <v>PEIRIS D.L.C.J.</v>
      </c>
      <c r="C72" s="73">
        <v>1.5</v>
      </c>
      <c r="D72" s="73">
        <v>0</v>
      </c>
      <c r="E72" s="73">
        <v>5</v>
      </c>
      <c r="F72" s="73">
        <v>2</v>
      </c>
      <c r="G72" s="70">
        <v>0</v>
      </c>
      <c r="H72" s="73">
        <v>3</v>
      </c>
      <c r="I72" s="73">
        <v>2</v>
      </c>
      <c r="J72" s="73">
        <v>4</v>
      </c>
      <c r="K72" s="73">
        <v>3</v>
      </c>
      <c r="L72" s="73">
        <v>0</v>
      </c>
      <c r="M72" s="73">
        <v>2</v>
      </c>
      <c r="N72" s="73">
        <v>0</v>
      </c>
      <c r="O72" s="73">
        <v>0</v>
      </c>
      <c r="P72" s="73">
        <v>4</v>
      </c>
      <c r="Q72" s="73">
        <v>0</v>
      </c>
      <c r="R72" s="73">
        <v>1</v>
      </c>
      <c r="S72" s="64">
        <f t="shared" si="3"/>
        <v>27.5</v>
      </c>
      <c r="T72" s="3">
        <f>'Detailed Marks'!L72</f>
        <v>40</v>
      </c>
    </row>
    <row r="73" spans="1:20" ht="19.5" customHeight="1" x14ac:dyDescent="0.3">
      <c r="A73" s="67" t="str">
        <f>'Detailed Marks'!A73</f>
        <v>210463H</v>
      </c>
      <c r="B73" s="67" t="str">
        <f>'Detailed Marks'!B73</f>
        <v>PERERA L.C.S.</v>
      </c>
      <c r="C73" s="73">
        <v>2.5</v>
      </c>
      <c r="D73" s="73">
        <v>1</v>
      </c>
      <c r="E73" s="73">
        <v>4</v>
      </c>
      <c r="F73" s="73">
        <v>4</v>
      </c>
      <c r="G73" s="70">
        <v>0</v>
      </c>
      <c r="H73" s="73">
        <v>2</v>
      </c>
      <c r="I73" s="73">
        <v>0</v>
      </c>
      <c r="J73" s="73">
        <v>3</v>
      </c>
      <c r="K73" s="73">
        <v>3</v>
      </c>
      <c r="L73" s="73">
        <v>4</v>
      </c>
      <c r="M73" s="73">
        <v>2</v>
      </c>
      <c r="N73" s="73">
        <v>3</v>
      </c>
      <c r="O73" s="73">
        <v>5</v>
      </c>
      <c r="P73" s="73">
        <v>3</v>
      </c>
      <c r="Q73" s="73">
        <v>2</v>
      </c>
      <c r="R73" s="73">
        <v>0</v>
      </c>
      <c r="S73" s="64">
        <f t="shared" si="3"/>
        <v>38.5</v>
      </c>
      <c r="T73" s="3">
        <f>'Detailed Marks'!L73</f>
        <v>51</v>
      </c>
    </row>
    <row r="74" spans="1:20" ht="19.5" customHeight="1" x14ac:dyDescent="0.3">
      <c r="A74" s="67" t="str">
        <f>'Detailed Marks'!A74</f>
        <v>210465P</v>
      </c>
      <c r="B74" s="67" t="str">
        <f>'Detailed Marks'!B74</f>
        <v>PERERA M.D.B.</v>
      </c>
      <c r="C74" s="73">
        <v>1.5</v>
      </c>
      <c r="D74" s="73">
        <v>3</v>
      </c>
      <c r="E74" s="73">
        <v>5</v>
      </c>
      <c r="F74" s="73">
        <v>6</v>
      </c>
      <c r="G74" s="70">
        <v>9</v>
      </c>
      <c r="H74" s="73">
        <v>3</v>
      </c>
      <c r="I74" s="73">
        <v>2</v>
      </c>
      <c r="J74" s="73">
        <v>3</v>
      </c>
      <c r="K74" s="73">
        <v>2</v>
      </c>
      <c r="L74" s="73">
        <v>4</v>
      </c>
      <c r="M74" s="73">
        <v>1</v>
      </c>
      <c r="N74" s="73">
        <v>3</v>
      </c>
      <c r="O74" s="73">
        <v>2</v>
      </c>
      <c r="P74" s="73">
        <v>0</v>
      </c>
      <c r="Q74" s="73">
        <v>3</v>
      </c>
      <c r="R74" s="73">
        <v>1</v>
      </c>
      <c r="S74" s="64">
        <f t="shared" si="3"/>
        <v>48.5</v>
      </c>
      <c r="T74" s="3">
        <f>'Detailed Marks'!L74</f>
        <v>62</v>
      </c>
    </row>
    <row r="75" spans="1:20" ht="19.5" customHeight="1" x14ac:dyDescent="0.3">
      <c r="A75" s="67" t="str">
        <f>'Detailed Marks'!A75</f>
        <v>210476B</v>
      </c>
      <c r="B75" s="67" t="str">
        <f>'Detailed Marks'!B75</f>
        <v>PIRAGASH P.</v>
      </c>
      <c r="C75" s="73">
        <v>1</v>
      </c>
      <c r="D75" s="73">
        <v>0</v>
      </c>
      <c r="E75" s="73">
        <v>2</v>
      </c>
      <c r="F75" s="73">
        <v>6</v>
      </c>
      <c r="G75" s="70">
        <v>9</v>
      </c>
      <c r="H75" s="73">
        <v>0</v>
      </c>
      <c r="I75" s="73">
        <v>0</v>
      </c>
      <c r="J75" s="73">
        <v>1</v>
      </c>
      <c r="K75" s="73">
        <v>1</v>
      </c>
      <c r="L75" s="73">
        <v>0</v>
      </c>
      <c r="M75" s="73">
        <v>0</v>
      </c>
      <c r="N75" s="73">
        <v>1</v>
      </c>
      <c r="O75" s="73">
        <v>0</v>
      </c>
      <c r="P75" s="73">
        <v>1</v>
      </c>
      <c r="Q75" s="73">
        <v>3</v>
      </c>
      <c r="R75" s="73">
        <v>0</v>
      </c>
      <c r="S75" s="64">
        <f t="shared" si="3"/>
        <v>25</v>
      </c>
      <c r="T75" s="3">
        <f>'Detailed Marks'!L75</f>
        <v>37.5</v>
      </c>
    </row>
    <row r="76" spans="1:20" ht="19.5" customHeight="1" x14ac:dyDescent="0.3">
      <c r="A76" s="67" t="str">
        <f>'Detailed Marks'!A76</f>
        <v>210479L</v>
      </c>
      <c r="B76" s="67" t="str">
        <f>'Detailed Marks'!B76</f>
        <v>PITIWADUGE R.P.</v>
      </c>
      <c r="C76" s="73">
        <v>1</v>
      </c>
      <c r="D76" s="73">
        <v>2</v>
      </c>
      <c r="E76" s="73">
        <v>7</v>
      </c>
      <c r="F76" s="73">
        <v>6</v>
      </c>
      <c r="G76" s="70">
        <v>9</v>
      </c>
      <c r="H76" s="73">
        <v>3</v>
      </c>
      <c r="I76" s="73">
        <v>4</v>
      </c>
      <c r="J76" s="73">
        <v>3</v>
      </c>
      <c r="K76" s="73">
        <v>5</v>
      </c>
      <c r="L76" s="73">
        <v>6</v>
      </c>
      <c r="M76" s="73">
        <v>1</v>
      </c>
      <c r="N76" s="73">
        <v>4</v>
      </c>
      <c r="O76" s="73">
        <v>3</v>
      </c>
      <c r="P76" s="73">
        <v>4</v>
      </c>
      <c r="Q76" s="73">
        <v>2</v>
      </c>
      <c r="R76" s="73">
        <v>0</v>
      </c>
      <c r="S76" s="64">
        <f t="shared" si="3"/>
        <v>60</v>
      </c>
      <c r="T76" s="3">
        <f>'Detailed Marks'!L76</f>
        <v>72.5</v>
      </c>
    </row>
    <row r="77" spans="1:20" ht="19.5" customHeight="1" x14ac:dyDescent="0.3">
      <c r="A77" s="67" t="str">
        <f>'Detailed Marks'!A77</f>
        <v>210486F</v>
      </c>
      <c r="B77" s="67" t="str">
        <f>'Detailed Marks'!B77</f>
        <v>PRABHASHANA M.R.M.</v>
      </c>
      <c r="C77" s="73">
        <v>1</v>
      </c>
      <c r="D77" s="73">
        <v>0</v>
      </c>
      <c r="E77" s="73">
        <v>2</v>
      </c>
      <c r="F77" s="73">
        <v>4</v>
      </c>
      <c r="G77" s="70">
        <v>9</v>
      </c>
      <c r="H77" s="73">
        <v>1</v>
      </c>
      <c r="I77" s="73">
        <v>0</v>
      </c>
      <c r="J77" s="73">
        <v>0</v>
      </c>
      <c r="K77" s="73">
        <v>3</v>
      </c>
      <c r="L77" s="73">
        <v>3</v>
      </c>
      <c r="M77" s="73">
        <v>0</v>
      </c>
      <c r="N77" s="73">
        <v>0</v>
      </c>
      <c r="O77" s="73">
        <v>1</v>
      </c>
      <c r="P77" s="73">
        <v>0</v>
      </c>
      <c r="Q77" s="73">
        <v>4</v>
      </c>
      <c r="R77" s="73">
        <v>2</v>
      </c>
      <c r="S77" s="64">
        <f t="shared" si="3"/>
        <v>30</v>
      </c>
      <c r="T77" s="3">
        <f>'Detailed Marks'!L77</f>
        <v>42.5</v>
      </c>
    </row>
    <row r="78" spans="1:20" ht="19.5" customHeight="1" x14ac:dyDescent="0.3">
      <c r="A78" s="67" t="str">
        <f>'Detailed Marks'!A78</f>
        <v>210490L</v>
      </c>
      <c r="B78" s="67" t="str">
        <f>'Detailed Marks'!B78</f>
        <v>PRABODHA K.P.K.A.</v>
      </c>
      <c r="C78" s="73">
        <v>3</v>
      </c>
      <c r="D78" s="73">
        <v>6</v>
      </c>
      <c r="E78" s="73">
        <v>7</v>
      </c>
      <c r="F78" s="73">
        <v>2</v>
      </c>
      <c r="G78" s="70">
        <v>9</v>
      </c>
      <c r="H78" s="73">
        <v>1</v>
      </c>
      <c r="I78" s="73">
        <v>2</v>
      </c>
      <c r="J78" s="73">
        <v>2</v>
      </c>
      <c r="K78" s="73">
        <v>3</v>
      </c>
      <c r="L78" s="73">
        <v>0</v>
      </c>
      <c r="M78" s="73">
        <v>1</v>
      </c>
      <c r="N78" s="73">
        <v>1</v>
      </c>
      <c r="O78" s="73">
        <v>2</v>
      </c>
      <c r="P78" s="73">
        <v>3</v>
      </c>
      <c r="Q78" s="73">
        <v>0</v>
      </c>
      <c r="R78" s="73">
        <v>0</v>
      </c>
      <c r="S78" s="64">
        <f t="shared" si="3"/>
        <v>42</v>
      </c>
      <c r="T78" s="3">
        <f>'Detailed Marks'!L78</f>
        <v>54.5</v>
      </c>
    </row>
    <row r="79" spans="1:20" ht="19.5" customHeight="1" x14ac:dyDescent="0.3">
      <c r="A79" s="67" t="str">
        <f>'Detailed Marks'!A79</f>
        <v>210498T</v>
      </c>
      <c r="B79" s="67" t="str">
        <f>'Detailed Marks'!B79</f>
        <v>PRIYANKAN V.</v>
      </c>
      <c r="C79" s="73">
        <v>1.5</v>
      </c>
      <c r="D79" s="73">
        <v>3</v>
      </c>
      <c r="E79" s="73">
        <v>5</v>
      </c>
      <c r="F79" s="73">
        <v>3</v>
      </c>
      <c r="G79" s="70">
        <v>9</v>
      </c>
      <c r="H79" s="73">
        <v>0</v>
      </c>
      <c r="I79" s="73">
        <v>2</v>
      </c>
      <c r="J79" s="73">
        <v>3</v>
      </c>
      <c r="K79" s="73">
        <v>2</v>
      </c>
      <c r="L79" s="73">
        <v>0</v>
      </c>
      <c r="M79" s="73">
        <v>1</v>
      </c>
      <c r="N79" s="73">
        <v>3</v>
      </c>
      <c r="O79" s="73">
        <v>2</v>
      </c>
      <c r="P79" s="73">
        <v>3</v>
      </c>
      <c r="Q79" s="73">
        <v>0</v>
      </c>
      <c r="R79" s="73">
        <v>0</v>
      </c>
      <c r="S79" s="64">
        <f t="shared" si="3"/>
        <v>37.5</v>
      </c>
      <c r="T79" s="3">
        <f>'Detailed Marks'!L79</f>
        <v>50</v>
      </c>
    </row>
    <row r="80" spans="1:20" ht="19.5" customHeight="1" x14ac:dyDescent="0.3">
      <c r="A80" s="67" t="str">
        <f>'Detailed Marks'!A80</f>
        <v>210503H</v>
      </c>
      <c r="B80" s="67" t="str">
        <f>'Detailed Marks'!B80</f>
        <v>RAJAPAKSHA I.P.D.D.</v>
      </c>
      <c r="C80" s="73">
        <v>3</v>
      </c>
      <c r="D80" s="73">
        <v>1</v>
      </c>
      <c r="E80" s="73">
        <v>4</v>
      </c>
      <c r="F80" s="73">
        <v>4</v>
      </c>
      <c r="G80" s="70">
        <v>8</v>
      </c>
      <c r="H80" s="73">
        <v>1</v>
      </c>
      <c r="I80" s="73">
        <v>0</v>
      </c>
      <c r="J80" s="73">
        <v>3</v>
      </c>
      <c r="K80" s="73">
        <v>2</v>
      </c>
      <c r="L80" s="73">
        <v>0</v>
      </c>
      <c r="M80" s="73">
        <v>2</v>
      </c>
      <c r="N80" s="73">
        <v>4</v>
      </c>
      <c r="O80" s="73">
        <v>5</v>
      </c>
      <c r="P80" s="73">
        <v>3</v>
      </c>
      <c r="Q80" s="73">
        <v>0</v>
      </c>
      <c r="R80" s="73">
        <v>0</v>
      </c>
      <c r="S80" s="64">
        <f t="shared" ref="S80:S89" si="7">SUM(C80:R80)</f>
        <v>40</v>
      </c>
      <c r="T80" s="3">
        <f>'Detailed Marks'!L80</f>
        <v>52.5</v>
      </c>
    </row>
    <row r="81" spans="1:20" ht="19.5" customHeight="1" x14ac:dyDescent="0.3">
      <c r="A81" s="67" t="str">
        <f>'Detailed Marks'!A81</f>
        <v>210504L</v>
      </c>
      <c r="B81" s="67" t="str">
        <f>'Detailed Marks'!B81</f>
        <v>RAJAPAKSHA N.N.</v>
      </c>
      <c r="C81" s="73">
        <v>3</v>
      </c>
      <c r="D81" s="73">
        <v>2</v>
      </c>
      <c r="E81" s="73">
        <v>9</v>
      </c>
      <c r="F81" s="73">
        <v>6</v>
      </c>
      <c r="G81" s="70">
        <v>9</v>
      </c>
      <c r="H81" s="73">
        <v>3</v>
      </c>
      <c r="I81" s="73">
        <v>2</v>
      </c>
      <c r="J81" s="73">
        <v>3</v>
      </c>
      <c r="K81" s="73">
        <v>3</v>
      </c>
      <c r="L81" s="73">
        <v>8</v>
      </c>
      <c r="M81" s="73">
        <v>4</v>
      </c>
      <c r="N81" s="73">
        <v>2</v>
      </c>
      <c r="O81" s="73">
        <v>5</v>
      </c>
      <c r="P81" s="73">
        <v>5</v>
      </c>
      <c r="Q81" s="73">
        <v>4</v>
      </c>
      <c r="R81" s="73">
        <v>1</v>
      </c>
      <c r="S81" s="64">
        <f t="shared" si="7"/>
        <v>69</v>
      </c>
      <c r="T81" s="3">
        <f>'Detailed Marks'!L81</f>
        <v>81.5</v>
      </c>
    </row>
    <row r="82" spans="1:20" ht="19.5" customHeight="1" x14ac:dyDescent="0.3">
      <c r="A82" s="67" t="str">
        <f>'Detailed Marks'!A82</f>
        <v>210512J</v>
      </c>
      <c r="B82" s="67" t="str">
        <f>'Detailed Marks'!B82</f>
        <v>RAMANAYAKE R.P.G.K.</v>
      </c>
      <c r="C82" s="73">
        <v>3</v>
      </c>
      <c r="D82" s="73">
        <v>1</v>
      </c>
      <c r="E82" s="73">
        <v>5</v>
      </c>
      <c r="F82" s="73">
        <v>6</v>
      </c>
      <c r="G82" s="70">
        <v>9</v>
      </c>
      <c r="H82" s="73">
        <v>1</v>
      </c>
      <c r="I82" s="73">
        <v>2</v>
      </c>
      <c r="J82" s="73">
        <v>2</v>
      </c>
      <c r="K82" s="73">
        <v>2</v>
      </c>
      <c r="L82" s="73">
        <v>4</v>
      </c>
      <c r="M82" s="73">
        <v>2</v>
      </c>
      <c r="N82" s="73">
        <v>0</v>
      </c>
      <c r="O82" s="73">
        <v>0</v>
      </c>
      <c r="P82" s="73">
        <v>1</v>
      </c>
      <c r="Q82" s="73">
        <v>0</v>
      </c>
      <c r="R82" s="73">
        <v>1</v>
      </c>
      <c r="S82" s="64">
        <f t="shared" si="7"/>
        <v>39</v>
      </c>
      <c r="T82" s="3">
        <f>'Detailed Marks'!L82</f>
        <v>51.5</v>
      </c>
    </row>
    <row r="83" spans="1:20" ht="19.5" customHeight="1" x14ac:dyDescent="0.3">
      <c r="A83" s="67" t="str">
        <f>'Detailed Marks'!A83</f>
        <v>210533A</v>
      </c>
      <c r="B83" s="67" t="str">
        <f>'Detailed Marks'!B83</f>
        <v>RATHNAMALALA T.N.S.</v>
      </c>
      <c r="C83" s="73">
        <v>1</v>
      </c>
      <c r="D83" s="73">
        <v>0</v>
      </c>
      <c r="E83" s="73">
        <v>5</v>
      </c>
      <c r="F83" s="73">
        <v>3</v>
      </c>
      <c r="G83" s="70">
        <v>0</v>
      </c>
      <c r="H83" s="73">
        <v>2</v>
      </c>
      <c r="I83" s="73">
        <v>2</v>
      </c>
      <c r="J83" s="73">
        <v>0</v>
      </c>
      <c r="K83" s="73">
        <v>2</v>
      </c>
      <c r="L83" s="73">
        <v>4</v>
      </c>
      <c r="M83" s="73">
        <v>1</v>
      </c>
      <c r="N83" s="73">
        <v>2</v>
      </c>
      <c r="O83" s="73">
        <v>0</v>
      </c>
      <c r="P83" s="73">
        <v>2</v>
      </c>
      <c r="Q83" s="73">
        <v>2</v>
      </c>
      <c r="R83" s="73">
        <v>0</v>
      </c>
      <c r="S83" s="64">
        <f t="shared" si="7"/>
        <v>26</v>
      </c>
      <c r="T83" s="3">
        <f>'Detailed Marks'!L83</f>
        <v>38.5</v>
      </c>
    </row>
    <row r="84" spans="1:20" ht="19.5" customHeight="1" x14ac:dyDescent="0.3">
      <c r="A84" s="67" t="str">
        <f>'Detailed Marks'!A84</f>
        <v>210542B</v>
      </c>
      <c r="B84" s="67" t="str">
        <f>'Detailed Marks'!B84</f>
        <v>RATNAYAKE R.M.L.H.</v>
      </c>
      <c r="C84" s="73">
        <v>3.5</v>
      </c>
      <c r="D84" s="73">
        <v>5</v>
      </c>
      <c r="E84" s="73">
        <v>8</v>
      </c>
      <c r="F84" s="73">
        <v>4</v>
      </c>
      <c r="G84" s="70">
        <v>10</v>
      </c>
      <c r="H84" s="73">
        <v>5</v>
      </c>
      <c r="I84" s="73">
        <v>2</v>
      </c>
      <c r="J84" s="73">
        <v>1</v>
      </c>
      <c r="K84" s="73">
        <v>5</v>
      </c>
      <c r="L84" s="73">
        <v>4</v>
      </c>
      <c r="M84" s="73">
        <v>1</v>
      </c>
      <c r="N84" s="73">
        <v>3</v>
      </c>
      <c r="O84" s="73">
        <v>2</v>
      </c>
      <c r="P84" s="73">
        <v>2</v>
      </c>
      <c r="Q84" s="73">
        <v>4</v>
      </c>
      <c r="R84" s="73">
        <v>1</v>
      </c>
      <c r="S84" s="64">
        <f t="shared" si="7"/>
        <v>60.5</v>
      </c>
      <c r="T84" s="3">
        <f>'Detailed Marks'!L84</f>
        <v>73</v>
      </c>
    </row>
    <row r="85" spans="1:20" ht="19.5" customHeight="1" x14ac:dyDescent="0.3">
      <c r="A85" s="67" t="str">
        <f>'Detailed Marks'!A85</f>
        <v>210557B</v>
      </c>
      <c r="B85" s="67" t="str">
        <f>'Detailed Marks'!B85</f>
        <v>SAMARANAYAKE G.D.C.</v>
      </c>
      <c r="C85" s="73">
        <v>1.5</v>
      </c>
      <c r="D85" s="73">
        <v>2</v>
      </c>
      <c r="E85" s="73">
        <v>5</v>
      </c>
      <c r="F85" s="73">
        <v>5</v>
      </c>
      <c r="G85" s="70">
        <v>9</v>
      </c>
      <c r="H85" s="73">
        <v>4</v>
      </c>
      <c r="I85" s="73">
        <v>2</v>
      </c>
      <c r="J85" s="73">
        <v>3</v>
      </c>
      <c r="K85" s="73">
        <v>3</v>
      </c>
      <c r="L85" s="73">
        <v>4</v>
      </c>
      <c r="M85" s="73">
        <v>0</v>
      </c>
      <c r="N85" s="73">
        <v>3</v>
      </c>
      <c r="O85" s="73">
        <v>2</v>
      </c>
      <c r="P85" s="73">
        <v>8</v>
      </c>
      <c r="Q85" s="73">
        <v>3</v>
      </c>
      <c r="R85" s="73">
        <v>0</v>
      </c>
      <c r="S85" s="64">
        <f t="shared" si="7"/>
        <v>54.5</v>
      </c>
      <c r="T85" s="3">
        <f>'Detailed Marks'!L85</f>
        <v>67</v>
      </c>
    </row>
    <row r="86" spans="1:20" ht="19.5" customHeight="1" x14ac:dyDescent="0.3">
      <c r="A86" s="67" t="str">
        <f>'Detailed Marks'!A86</f>
        <v>210559H</v>
      </c>
      <c r="B86" s="67" t="str">
        <f>'Detailed Marks'!B86</f>
        <v>SAMARANAYAKE M.A.S.</v>
      </c>
      <c r="C86" s="73">
        <v>2</v>
      </c>
      <c r="D86" s="73">
        <v>2</v>
      </c>
      <c r="E86" s="73">
        <v>4</v>
      </c>
      <c r="F86" s="73">
        <v>1</v>
      </c>
      <c r="G86" s="70">
        <v>7</v>
      </c>
      <c r="H86" s="73">
        <v>1</v>
      </c>
      <c r="I86" s="73">
        <v>2</v>
      </c>
      <c r="J86" s="73">
        <v>4</v>
      </c>
      <c r="K86" s="73">
        <v>3</v>
      </c>
      <c r="L86" s="73">
        <v>0</v>
      </c>
      <c r="M86" s="73">
        <v>2</v>
      </c>
      <c r="N86" s="73">
        <v>2</v>
      </c>
      <c r="O86" s="73">
        <v>3</v>
      </c>
      <c r="P86" s="73">
        <v>5</v>
      </c>
      <c r="Q86" s="73">
        <v>2</v>
      </c>
      <c r="R86" s="73">
        <v>1</v>
      </c>
      <c r="S86" s="64">
        <f t="shared" si="7"/>
        <v>41</v>
      </c>
      <c r="T86" s="3">
        <f>'Detailed Marks'!L86</f>
        <v>53.5</v>
      </c>
    </row>
    <row r="87" spans="1:20" ht="19.5" customHeight="1" x14ac:dyDescent="0.3">
      <c r="A87" s="67" t="str">
        <f>'Detailed Marks'!A87</f>
        <v>210583B</v>
      </c>
      <c r="B87" s="67" t="str">
        <f>'Detailed Marks'!B87</f>
        <v>SEHARA G.M.M.</v>
      </c>
      <c r="C87" s="73">
        <v>2.5</v>
      </c>
      <c r="D87" s="73">
        <v>4</v>
      </c>
      <c r="E87" s="73">
        <v>6</v>
      </c>
      <c r="F87" s="73">
        <v>6</v>
      </c>
      <c r="G87" s="70">
        <v>8</v>
      </c>
      <c r="H87" s="73">
        <v>3</v>
      </c>
      <c r="I87" s="73">
        <v>2</v>
      </c>
      <c r="J87" s="73">
        <v>4</v>
      </c>
      <c r="K87" s="73">
        <v>2</v>
      </c>
      <c r="L87" s="73">
        <v>8</v>
      </c>
      <c r="M87" s="73">
        <v>0</v>
      </c>
      <c r="N87" s="73">
        <v>4</v>
      </c>
      <c r="O87" s="73">
        <v>5</v>
      </c>
      <c r="P87" s="73">
        <v>4</v>
      </c>
      <c r="Q87" s="73">
        <v>1</v>
      </c>
      <c r="R87" s="73">
        <v>1</v>
      </c>
      <c r="S87" s="64">
        <f t="shared" si="7"/>
        <v>60.5</v>
      </c>
      <c r="T87" s="3">
        <f>'Detailed Marks'!L87</f>
        <v>73</v>
      </c>
    </row>
    <row r="88" spans="1:20" ht="19.5" customHeight="1" x14ac:dyDescent="0.3">
      <c r="A88" s="67" t="str">
        <f>'Detailed Marks'!A88</f>
        <v>210594J</v>
      </c>
      <c r="B88" s="67" t="str">
        <f>'Detailed Marks'!B88</f>
        <v>SENAVIRATHNE I.U.B.</v>
      </c>
      <c r="C88" s="73">
        <v>0</v>
      </c>
      <c r="D88" s="73">
        <v>2</v>
      </c>
      <c r="E88" s="73">
        <v>7</v>
      </c>
      <c r="F88" s="73">
        <v>6</v>
      </c>
      <c r="G88" s="70">
        <v>8</v>
      </c>
      <c r="H88" s="73">
        <v>5</v>
      </c>
      <c r="I88" s="73">
        <v>2</v>
      </c>
      <c r="J88" s="73">
        <v>4</v>
      </c>
      <c r="K88" s="73">
        <v>3</v>
      </c>
      <c r="L88" s="73">
        <v>0</v>
      </c>
      <c r="M88" s="73">
        <v>6</v>
      </c>
      <c r="N88" s="73">
        <v>3</v>
      </c>
      <c r="O88" s="73">
        <v>3</v>
      </c>
      <c r="P88" s="73">
        <v>6</v>
      </c>
      <c r="Q88" s="73">
        <v>5</v>
      </c>
      <c r="R88" s="73">
        <v>3</v>
      </c>
      <c r="S88" s="64">
        <f t="shared" si="7"/>
        <v>63</v>
      </c>
      <c r="T88" s="3">
        <f>'Detailed Marks'!L88</f>
        <v>75.5</v>
      </c>
    </row>
    <row r="89" spans="1:20" ht="19.5" customHeight="1" x14ac:dyDescent="0.3">
      <c r="A89" s="67" t="str">
        <f>'Detailed Marks'!A89</f>
        <v>210599E</v>
      </c>
      <c r="B89" s="67" t="str">
        <f>'Detailed Marks'!B89</f>
        <v>SHAMAL G.B.A.</v>
      </c>
      <c r="C89" s="73">
        <v>2</v>
      </c>
      <c r="D89" s="73">
        <v>2</v>
      </c>
      <c r="E89" s="73">
        <v>4</v>
      </c>
      <c r="F89" s="73">
        <v>6</v>
      </c>
      <c r="G89" s="70">
        <v>6</v>
      </c>
      <c r="H89" s="73">
        <v>4</v>
      </c>
      <c r="I89" s="73">
        <v>2</v>
      </c>
      <c r="J89" s="73">
        <v>3</v>
      </c>
      <c r="K89" s="73">
        <v>2</v>
      </c>
      <c r="L89" s="73">
        <v>0</v>
      </c>
      <c r="M89" s="73">
        <v>2</v>
      </c>
      <c r="N89" s="73">
        <v>3</v>
      </c>
      <c r="O89" s="73">
        <v>3</v>
      </c>
      <c r="P89" s="73">
        <v>2</v>
      </c>
      <c r="Q89" s="73">
        <v>3</v>
      </c>
      <c r="R89" s="73">
        <v>0</v>
      </c>
      <c r="S89" s="64">
        <f t="shared" si="7"/>
        <v>44</v>
      </c>
      <c r="T89" s="3">
        <f>'Detailed Marks'!L89</f>
        <v>56.5</v>
      </c>
    </row>
    <row r="90" spans="1:20" ht="19.5" customHeight="1" x14ac:dyDescent="0.3">
      <c r="A90" s="67" t="str">
        <f>'Detailed Marks'!A90</f>
        <v>210605X</v>
      </c>
      <c r="B90" s="67" t="str">
        <f>'Detailed Marks'!B90</f>
        <v>SHEHAN M.K.J.</v>
      </c>
      <c r="C90" s="73">
        <v>2</v>
      </c>
      <c r="D90" s="73">
        <v>0</v>
      </c>
      <c r="E90" s="73">
        <v>4</v>
      </c>
      <c r="F90" s="73">
        <v>3</v>
      </c>
      <c r="G90" s="70">
        <v>9</v>
      </c>
      <c r="H90" s="73">
        <v>2</v>
      </c>
      <c r="I90" s="73">
        <v>3</v>
      </c>
      <c r="J90" s="73">
        <v>3</v>
      </c>
      <c r="K90" s="73">
        <v>2</v>
      </c>
      <c r="L90" s="73">
        <v>2</v>
      </c>
      <c r="M90" s="73">
        <v>3</v>
      </c>
      <c r="N90" s="73">
        <v>2</v>
      </c>
      <c r="O90" s="73">
        <v>3</v>
      </c>
      <c r="P90" s="73">
        <v>5</v>
      </c>
      <c r="Q90" s="73">
        <v>1</v>
      </c>
      <c r="R90" s="73">
        <v>0</v>
      </c>
      <c r="S90" s="64">
        <f t="shared" ref="S90:S104" si="8">SUM(C90:R90)</f>
        <v>44</v>
      </c>
      <c r="T90" s="3">
        <f>'Detailed Marks'!L90</f>
        <v>56.5</v>
      </c>
    </row>
    <row r="91" spans="1:20" ht="19.5" customHeight="1" x14ac:dyDescent="0.3">
      <c r="A91" s="67" t="str">
        <f>'Detailed Marks'!A91</f>
        <v>210608J</v>
      </c>
      <c r="B91" s="67" t="str">
        <f>'Detailed Marks'!B91</f>
        <v>SILVA L.J.J.P.</v>
      </c>
      <c r="C91" s="73">
        <v>2.5</v>
      </c>
      <c r="D91" s="73">
        <v>4</v>
      </c>
      <c r="E91" s="73">
        <v>7</v>
      </c>
      <c r="F91" s="73">
        <v>6</v>
      </c>
      <c r="G91" s="70">
        <v>9</v>
      </c>
      <c r="H91" s="73">
        <v>2</v>
      </c>
      <c r="I91" s="73">
        <v>2</v>
      </c>
      <c r="J91" s="73">
        <v>4</v>
      </c>
      <c r="K91" s="73">
        <v>2</v>
      </c>
      <c r="L91" s="73">
        <v>3</v>
      </c>
      <c r="M91" s="73">
        <v>5</v>
      </c>
      <c r="N91" s="73">
        <v>2</v>
      </c>
      <c r="O91" s="73">
        <v>3</v>
      </c>
      <c r="P91" s="73">
        <v>7</v>
      </c>
      <c r="Q91" s="73">
        <v>4</v>
      </c>
      <c r="R91" s="73">
        <v>0</v>
      </c>
      <c r="S91" s="64">
        <f t="shared" si="8"/>
        <v>62.5</v>
      </c>
      <c r="T91" s="3">
        <f>'Detailed Marks'!L91</f>
        <v>75</v>
      </c>
    </row>
    <row r="92" spans="1:20" ht="19.5" customHeight="1" x14ac:dyDescent="0.3">
      <c r="A92" s="67" t="str">
        <f>'Detailed Marks'!A92</f>
        <v>210610H</v>
      </c>
      <c r="B92" s="67" t="str">
        <f>'Detailed Marks'!B92</f>
        <v>SIRIMANNA N.T.W.</v>
      </c>
      <c r="C92" s="73">
        <v>3</v>
      </c>
      <c r="D92" s="73">
        <v>3</v>
      </c>
      <c r="E92" s="73">
        <v>7</v>
      </c>
      <c r="F92" s="73">
        <v>5</v>
      </c>
      <c r="G92" s="70">
        <v>10</v>
      </c>
      <c r="H92" s="73">
        <v>4</v>
      </c>
      <c r="I92" s="73">
        <v>3</v>
      </c>
      <c r="J92" s="73">
        <v>3</v>
      </c>
      <c r="K92" s="73">
        <v>3</v>
      </c>
      <c r="L92" s="73">
        <v>2</v>
      </c>
      <c r="M92" s="73">
        <v>0</v>
      </c>
      <c r="N92" s="73">
        <v>2</v>
      </c>
      <c r="O92" s="73">
        <v>4</v>
      </c>
      <c r="P92" s="73">
        <v>5</v>
      </c>
      <c r="Q92" s="73">
        <v>2</v>
      </c>
      <c r="R92" s="73">
        <v>0</v>
      </c>
      <c r="S92" s="64">
        <f t="shared" si="8"/>
        <v>56</v>
      </c>
      <c r="T92" s="3">
        <f>'Detailed Marks'!L92</f>
        <v>68.5</v>
      </c>
    </row>
    <row r="93" spans="1:20" ht="19.5" customHeight="1" x14ac:dyDescent="0.3">
      <c r="A93" s="67" t="str">
        <f>'Detailed Marks'!A93</f>
        <v>210612P</v>
      </c>
      <c r="B93" s="67" t="str">
        <f>'Detailed Marks'!B93</f>
        <v>SIRIWARDANE C.</v>
      </c>
      <c r="C93" s="73">
        <v>1.5</v>
      </c>
      <c r="D93" s="73">
        <v>3</v>
      </c>
      <c r="E93" s="73">
        <v>5</v>
      </c>
      <c r="F93" s="73">
        <v>6</v>
      </c>
      <c r="G93" s="70">
        <v>9</v>
      </c>
      <c r="H93" s="73">
        <v>4</v>
      </c>
      <c r="I93" s="73">
        <v>2</v>
      </c>
      <c r="J93" s="73">
        <v>4</v>
      </c>
      <c r="K93" s="73">
        <v>2</v>
      </c>
      <c r="L93" s="73">
        <v>0</v>
      </c>
      <c r="M93" s="73">
        <v>1</v>
      </c>
      <c r="N93" s="73">
        <v>2</v>
      </c>
      <c r="O93" s="73">
        <v>4</v>
      </c>
      <c r="P93" s="73">
        <v>4</v>
      </c>
      <c r="Q93" s="73">
        <v>1</v>
      </c>
      <c r="R93" s="73">
        <v>1</v>
      </c>
      <c r="S93" s="64">
        <f t="shared" si="8"/>
        <v>49.5</v>
      </c>
      <c r="T93" s="3">
        <f>'Detailed Marks'!L93</f>
        <v>62</v>
      </c>
    </row>
    <row r="94" spans="1:20" ht="19.5" customHeight="1" x14ac:dyDescent="0.3">
      <c r="A94" s="67" t="str">
        <f>'Detailed Marks'!A94</f>
        <v>210624E</v>
      </c>
      <c r="B94" s="67" t="str">
        <f>'Detailed Marks'!B94</f>
        <v>SUNDARBAVAN T.</v>
      </c>
      <c r="C94" s="73">
        <v>2</v>
      </c>
      <c r="D94" s="73">
        <v>4</v>
      </c>
      <c r="E94" s="73">
        <v>7</v>
      </c>
      <c r="F94" s="73">
        <v>4</v>
      </c>
      <c r="G94" s="70">
        <v>9</v>
      </c>
      <c r="H94" s="73">
        <v>6</v>
      </c>
      <c r="I94" s="73">
        <v>2</v>
      </c>
      <c r="J94" s="73">
        <v>3</v>
      </c>
      <c r="K94" s="73">
        <v>2</v>
      </c>
      <c r="L94" s="73">
        <v>6</v>
      </c>
      <c r="M94" s="73">
        <v>0</v>
      </c>
      <c r="N94" s="73">
        <v>2</v>
      </c>
      <c r="O94" s="73">
        <v>3</v>
      </c>
      <c r="P94" s="73">
        <v>4</v>
      </c>
      <c r="Q94" s="73">
        <v>0</v>
      </c>
      <c r="R94" s="73">
        <v>0</v>
      </c>
      <c r="S94" s="64">
        <f t="shared" si="8"/>
        <v>54</v>
      </c>
      <c r="T94" s="3">
        <f>'Detailed Marks'!L94</f>
        <v>66.5</v>
      </c>
    </row>
    <row r="95" spans="1:20" ht="19.5" customHeight="1" x14ac:dyDescent="0.3">
      <c r="A95" s="67" t="str">
        <f>'Detailed Marks'!A95</f>
        <v>210625H</v>
      </c>
      <c r="B95" s="67" t="str">
        <f>'Detailed Marks'!B95</f>
        <v>SURENDRA S.A.J.E.</v>
      </c>
      <c r="C95" s="73">
        <v>1.5</v>
      </c>
      <c r="D95" s="73">
        <v>2</v>
      </c>
      <c r="E95" s="73">
        <v>8</v>
      </c>
      <c r="F95" s="73">
        <v>5</v>
      </c>
      <c r="G95" s="70">
        <v>9</v>
      </c>
      <c r="H95" s="73">
        <v>4</v>
      </c>
      <c r="I95" s="73">
        <v>2</v>
      </c>
      <c r="J95" s="73">
        <v>4</v>
      </c>
      <c r="K95" s="73">
        <v>2</v>
      </c>
      <c r="L95" s="73">
        <v>6</v>
      </c>
      <c r="M95" s="73">
        <v>3</v>
      </c>
      <c r="N95" s="73">
        <v>5</v>
      </c>
      <c r="O95" s="73">
        <v>5</v>
      </c>
      <c r="P95" s="73">
        <v>6</v>
      </c>
      <c r="Q95" s="73">
        <v>3</v>
      </c>
      <c r="R95" s="73">
        <v>1</v>
      </c>
      <c r="S95" s="64">
        <f t="shared" si="8"/>
        <v>66.5</v>
      </c>
      <c r="T95" s="3">
        <f>'Detailed Marks'!L95</f>
        <v>79</v>
      </c>
    </row>
    <row r="96" spans="1:20" ht="19.5" customHeight="1" x14ac:dyDescent="0.3">
      <c r="A96" s="67" t="str">
        <f>'Detailed Marks'!A96</f>
        <v>210629A</v>
      </c>
      <c r="B96" s="67" t="str">
        <f>'Detailed Marks'!B96</f>
        <v>THAMIRAWARAN S.</v>
      </c>
      <c r="C96" s="73">
        <v>1.5</v>
      </c>
      <c r="D96" s="73">
        <v>0</v>
      </c>
      <c r="E96" s="73">
        <v>0</v>
      </c>
      <c r="F96" s="73">
        <v>5</v>
      </c>
      <c r="G96" s="70">
        <v>10</v>
      </c>
      <c r="H96" s="73">
        <v>0</v>
      </c>
      <c r="I96" s="73">
        <v>0</v>
      </c>
      <c r="J96" s="73">
        <v>2</v>
      </c>
      <c r="K96" s="73">
        <v>2</v>
      </c>
      <c r="L96" s="73">
        <v>0</v>
      </c>
      <c r="M96" s="73">
        <v>1</v>
      </c>
      <c r="N96" s="73">
        <v>3</v>
      </c>
      <c r="O96" s="73">
        <v>3</v>
      </c>
      <c r="P96" s="73">
        <v>1</v>
      </c>
      <c r="Q96" s="73">
        <v>2</v>
      </c>
      <c r="R96" s="73">
        <v>1</v>
      </c>
      <c r="S96" s="64">
        <f t="shared" si="8"/>
        <v>31.5</v>
      </c>
      <c r="T96" s="3">
        <f>'Detailed Marks'!L96</f>
        <v>44</v>
      </c>
    </row>
    <row r="97" spans="1:20" ht="19.5" customHeight="1" x14ac:dyDescent="0.3">
      <c r="A97" s="67" t="str">
        <f>'Detailed Marks'!A97</f>
        <v>210642G</v>
      </c>
      <c r="B97" s="67" t="str">
        <f>'Detailed Marks'!B97</f>
        <v>THENNAKOON T.M.K.R.</v>
      </c>
      <c r="C97" s="73">
        <v>3</v>
      </c>
      <c r="D97" s="73">
        <v>4</v>
      </c>
      <c r="E97" s="73">
        <v>5</v>
      </c>
      <c r="F97" s="73">
        <v>5</v>
      </c>
      <c r="G97" s="70">
        <v>9</v>
      </c>
      <c r="H97" s="73">
        <v>1</v>
      </c>
      <c r="I97" s="73">
        <v>2</v>
      </c>
      <c r="J97" s="73">
        <v>3</v>
      </c>
      <c r="K97" s="73">
        <v>2</v>
      </c>
      <c r="L97" s="73">
        <v>8</v>
      </c>
      <c r="M97" s="73">
        <v>0</v>
      </c>
      <c r="N97" s="73">
        <v>1</v>
      </c>
      <c r="O97" s="73">
        <v>1</v>
      </c>
      <c r="P97" s="73">
        <v>3</v>
      </c>
      <c r="Q97" s="73">
        <v>0</v>
      </c>
      <c r="R97" s="73">
        <v>0</v>
      </c>
      <c r="S97" s="64">
        <f t="shared" si="8"/>
        <v>47</v>
      </c>
      <c r="T97" s="3">
        <f>'Detailed Marks'!L97</f>
        <v>59.5</v>
      </c>
    </row>
    <row r="98" spans="1:20" ht="19.5" customHeight="1" x14ac:dyDescent="0.3">
      <c r="A98" s="67" t="str">
        <f>'Detailed Marks'!A98</f>
        <v>210668P</v>
      </c>
      <c r="B98" s="67" t="str">
        <f>'Detailed Marks'!B98</f>
        <v>VIDMAL H.V.P.</v>
      </c>
      <c r="C98" s="73">
        <v>3</v>
      </c>
      <c r="D98" s="73">
        <v>1</v>
      </c>
      <c r="E98" s="73">
        <v>5</v>
      </c>
      <c r="F98" s="73">
        <v>4</v>
      </c>
      <c r="G98" s="70">
        <v>9</v>
      </c>
      <c r="H98" s="73">
        <v>2</v>
      </c>
      <c r="I98" s="73">
        <v>3</v>
      </c>
      <c r="J98" s="73">
        <v>4</v>
      </c>
      <c r="K98" s="73">
        <v>3</v>
      </c>
      <c r="L98" s="73">
        <v>2</v>
      </c>
      <c r="M98" s="73">
        <v>1</v>
      </c>
      <c r="N98" s="73">
        <v>3</v>
      </c>
      <c r="O98" s="73">
        <v>6</v>
      </c>
      <c r="P98" s="73">
        <v>7</v>
      </c>
      <c r="Q98" s="73">
        <v>3</v>
      </c>
      <c r="R98" s="73">
        <v>0</v>
      </c>
      <c r="S98" s="64">
        <f t="shared" si="8"/>
        <v>56</v>
      </c>
      <c r="T98" s="3">
        <f>'Detailed Marks'!L98</f>
        <v>68.5</v>
      </c>
    </row>
    <row r="99" spans="1:20" ht="19.5" customHeight="1" x14ac:dyDescent="0.3">
      <c r="A99" s="67" t="str">
        <f>'Detailed Marks'!A99</f>
        <v>210679B</v>
      </c>
      <c r="B99" s="67" t="str">
        <f>'Detailed Marks'!B99</f>
        <v>WANNIARACHCHI W.A.D.N.M.</v>
      </c>
      <c r="C99" s="73">
        <v>1.5</v>
      </c>
      <c r="D99" s="73">
        <v>0</v>
      </c>
      <c r="E99" s="73">
        <v>6</v>
      </c>
      <c r="F99" s="73">
        <v>6</v>
      </c>
      <c r="G99" s="70">
        <v>1</v>
      </c>
      <c r="H99" s="73">
        <v>3</v>
      </c>
      <c r="I99" s="73">
        <v>2</v>
      </c>
      <c r="J99" s="73">
        <v>3</v>
      </c>
      <c r="K99" s="73">
        <v>3</v>
      </c>
      <c r="L99" s="73">
        <v>0</v>
      </c>
      <c r="M99" s="73">
        <v>0</v>
      </c>
      <c r="N99" s="73">
        <v>1</v>
      </c>
      <c r="O99" s="73">
        <v>4</v>
      </c>
      <c r="P99" s="73">
        <v>5</v>
      </c>
      <c r="Q99" s="73">
        <v>3</v>
      </c>
      <c r="R99" s="73">
        <v>2</v>
      </c>
      <c r="S99" s="64">
        <f t="shared" si="8"/>
        <v>40.5</v>
      </c>
      <c r="T99" s="3">
        <f>'Detailed Marks'!L99</f>
        <v>53.1</v>
      </c>
    </row>
    <row r="100" spans="1:20" ht="19.5" customHeight="1" x14ac:dyDescent="0.3">
      <c r="A100" s="67" t="str">
        <f>'Detailed Marks'!A100</f>
        <v>210699K</v>
      </c>
      <c r="B100" s="67" t="str">
        <f>'Detailed Marks'!B100</f>
        <v>WICKRAMAARACHCHI W.C.A.</v>
      </c>
      <c r="C100" s="73">
        <v>2.5</v>
      </c>
      <c r="D100" s="73">
        <v>2</v>
      </c>
      <c r="E100" s="73">
        <v>5</v>
      </c>
      <c r="F100" s="73">
        <v>6</v>
      </c>
      <c r="G100" s="70">
        <v>4</v>
      </c>
      <c r="H100" s="73">
        <v>2</v>
      </c>
      <c r="I100" s="73">
        <v>0</v>
      </c>
      <c r="J100" s="73">
        <v>0</v>
      </c>
      <c r="K100" s="73">
        <v>3</v>
      </c>
      <c r="L100" s="73">
        <v>0</v>
      </c>
      <c r="M100" s="73">
        <v>2</v>
      </c>
      <c r="N100" s="73">
        <v>1</v>
      </c>
      <c r="O100" s="73">
        <v>3</v>
      </c>
      <c r="P100" s="73">
        <v>3</v>
      </c>
      <c r="Q100" s="73">
        <v>2</v>
      </c>
      <c r="R100" s="73">
        <v>0</v>
      </c>
      <c r="S100" s="64">
        <f t="shared" si="8"/>
        <v>35.5</v>
      </c>
      <c r="T100" s="3">
        <f>'Detailed Marks'!L100</f>
        <v>48</v>
      </c>
    </row>
    <row r="101" spans="1:20" ht="19.5" customHeight="1" x14ac:dyDescent="0.3">
      <c r="A101" s="67" t="str">
        <f>'Detailed Marks'!A101</f>
        <v>210703V</v>
      </c>
      <c r="B101" s="67" t="str">
        <f>'Detailed Marks'!B101</f>
        <v>WICKRAMARATHNE M.P.</v>
      </c>
      <c r="C101" s="73">
        <v>2.5</v>
      </c>
      <c r="D101" s="73">
        <v>3</v>
      </c>
      <c r="E101" s="73">
        <v>8</v>
      </c>
      <c r="F101" s="73">
        <v>2</v>
      </c>
      <c r="G101" s="70">
        <v>10</v>
      </c>
      <c r="H101" s="73">
        <v>3</v>
      </c>
      <c r="I101" s="73">
        <v>2</v>
      </c>
      <c r="J101" s="73">
        <v>2</v>
      </c>
      <c r="K101" s="73">
        <v>5</v>
      </c>
      <c r="L101" s="73">
        <v>0</v>
      </c>
      <c r="M101" s="73">
        <v>0</v>
      </c>
      <c r="N101" s="73">
        <v>1</v>
      </c>
      <c r="O101" s="73">
        <v>2</v>
      </c>
      <c r="P101" s="73">
        <v>5</v>
      </c>
      <c r="Q101" s="73">
        <v>3</v>
      </c>
      <c r="R101" s="73">
        <v>2</v>
      </c>
      <c r="S101" s="64">
        <f t="shared" si="8"/>
        <v>50.5</v>
      </c>
      <c r="T101" s="3">
        <f>'Detailed Marks'!L101</f>
        <v>63</v>
      </c>
    </row>
    <row r="102" spans="1:20" ht="19.5" customHeight="1" x14ac:dyDescent="0.3">
      <c r="A102" s="67" t="str">
        <f>'Detailed Marks'!A102</f>
        <v>210705E</v>
      </c>
      <c r="B102" s="67" t="str">
        <f>'Detailed Marks'!B102</f>
        <v>WICKRAMASINGHA M.P.D.N.</v>
      </c>
      <c r="C102" s="73">
        <v>1.5</v>
      </c>
      <c r="D102" s="73">
        <v>3</v>
      </c>
      <c r="E102" s="73">
        <v>6</v>
      </c>
      <c r="F102" s="73">
        <v>2</v>
      </c>
      <c r="G102" s="70">
        <v>8</v>
      </c>
      <c r="H102" s="73">
        <v>3</v>
      </c>
      <c r="I102" s="73">
        <v>2</v>
      </c>
      <c r="J102" s="73">
        <v>2</v>
      </c>
      <c r="K102" s="73">
        <v>3</v>
      </c>
      <c r="L102" s="73">
        <v>3</v>
      </c>
      <c r="M102" s="73">
        <v>3</v>
      </c>
      <c r="N102" s="73">
        <v>2</v>
      </c>
      <c r="O102" s="73">
        <v>1</v>
      </c>
      <c r="P102" s="73">
        <v>0</v>
      </c>
      <c r="Q102" s="73">
        <v>1</v>
      </c>
      <c r="R102" s="73">
        <v>1</v>
      </c>
      <c r="S102" s="64">
        <f t="shared" si="8"/>
        <v>41.5</v>
      </c>
      <c r="T102" s="3">
        <f>'Detailed Marks'!L102</f>
        <v>54</v>
      </c>
    </row>
    <row r="103" spans="1:20" ht="19.5" customHeight="1" x14ac:dyDescent="0.3">
      <c r="A103" s="67" t="str">
        <f>'Detailed Marks'!A103</f>
        <v>210720U</v>
      </c>
      <c r="B103" s="67" t="str">
        <f>'Detailed Marks'!B103</f>
        <v>WIJESINGHE C.D.</v>
      </c>
      <c r="C103" s="73">
        <v>1.5</v>
      </c>
      <c r="D103" s="73">
        <v>2</v>
      </c>
      <c r="E103" s="73">
        <v>8</v>
      </c>
      <c r="F103" s="73">
        <v>6</v>
      </c>
      <c r="G103" s="70">
        <v>9</v>
      </c>
      <c r="H103" s="73">
        <v>6</v>
      </c>
      <c r="I103" s="73">
        <v>2</v>
      </c>
      <c r="J103" s="73">
        <v>4</v>
      </c>
      <c r="K103" s="73">
        <v>3</v>
      </c>
      <c r="L103" s="73">
        <v>6</v>
      </c>
      <c r="M103" s="73">
        <v>4</v>
      </c>
      <c r="N103" s="73">
        <v>2</v>
      </c>
      <c r="O103" s="73">
        <v>4</v>
      </c>
      <c r="P103" s="73">
        <v>6</v>
      </c>
      <c r="Q103" s="73">
        <v>4</v>
      </c>
      <c r="R103" s="73">
        <v>2</v>
      </c>
      <c r="S103" s="64">
        <f t="shared" si="8"/>
        <v>69.5</v>
      </c>
      <c r="T103" s="3">
        <f>'Detailed Marks'!L103</f>
        <v>82</v>
      </c>
    </row>
    <row r="104" spans="1:20" ht="19.5" customHeight="1" x14ac:dyDescent="0.3">
      <c r="A104" s="67" t="str">
        <f>'Detailed Marks'!A104</f>
        <v>210732H</v>
      </c>
      <c r="B104" s="67" t="str">
        <f>'Detailed Marks'!B104</f>
        <v>WITHANAWASAM I.A.</v>
      </c>
      <c r="C104" s="73">
        <v>1.5</v>
      </c>
      <c r="D104" s="73">
        <v>2</v>
      </c>
      <c r="E104" s="73">
        <v>5</v>
      </c>
      <c r="F104" s="73">
        <v>5</v>
      </c>
      <c r="G104" s="70">
        <v>5</v>
      </c>
      <c r="H104" s="73">
        <v>4</v>
      </c>
      <c r="I104" s="73">
        <v>3</v>
      </c>
      <c r="J104" s="73">
        <v>4</v>
      </c>
      <c r="K104" s="73">
        <v>2</v>
      </c>
      <c r="L104" s="73">
        <v>2</v>
      </c>
      <c r="M104" s="73">
        <v>1</v>
      </c>
      <c r="N104" s="73">
        <v>4</v>
      </c>
      <c r="O104" s="73">
        <v>4</v>
      </c>
      <c r="P104" s="73">
        <v>2</v>
      </c>
      <c r="Q104" s="73">
        <v>0</v>
      </c>
      <c r="R104" s="73">
        <v>2</v>
      </c>
      <c r="S104" s="64">
        <f t="shared" si="8"/>
        <v>46.5</v>
      </c>
      <c r="T104" s="3">
        <f>'Detailed Marks'!L104</f>
        <v>59</v>
      </c>
    </row>
    <row r="105" spans="1:20" ht="19.5" customHeight="1" x14ac:dyDescent="0.3">
      <c r="B105" s="46"/>
    </row>
    <row r="106" spans="1:20" ht="19.5" customHeight="1" x14ac:dyDescent="0.3">
      <c r="B106" s="46"/>
    </row>
    <row r="107" spans="1:20" ht="19.5" customHeight="1" x14ac:dyDescent="0.3">
      <c r="B107" s="46"/>
    </row>
    <row r="108" spans="1:20" ht="19.5" customHeight="1" x14ac:dyDescent="0.3">
      <c r="B108" s="46"/>
    </row>
    <row r="109" spans="1:20" ht="19.5" customHeight="1" x14ac:dyDescent="0.3">
      <c r="B109" s="46"/>
    </row>
    <row r="110" spans="1:20" ht="19.5" customHeight="1" x14ac:dyDescent="0.3">
      <c r="B110" s="46"/>
    </row>
    <row r="111" spans="1:20" ht="19.5" customHeight="1" x14ac:dyDescent="0.3">
      <c r="B111" s="46"/>
    </row>
    <row r="112" spans="1:20" ht="19.5" customHeight="1" x14ac:dyDescent="0.3">
      <c r="B112" s="46"/>
    </row>
    <row r="113" spans="2:2" ht="19.5" customHeight="1" x14ac:dyDescent="0.3">
      <c r="B113" s="46"/>
    </row>
    <row r="114" spans="2:2" ht="19.5" customHeight="1" x14ac:dyDescent="0.3">
      <c r="B114" s="46"/>
    </row>
    <row r="115" spans="2:2" ht="19.5" customHeight="1" x14ac:dyDescent="0.3">
      <c r="B115" s="46"/>
    </row>
    <row r="116" spans="2:2" ht="19.5" customHeight="1" x14ac:dyDescent="0.3">
      <c r="B116" s="46"/>
    </row>
    <row r="117" spans="2:2" ht="19.5" customHeight="1" x14ac:dyDescent="0.3">
      <c r="B117" s="46"/>
    </row>
    <row r="118" spans="2:2" ht="19.5" customHeight="1" x14ac:dyDescent="0.3">
      <c r="B118" s="46"/>
    </row>
    <row r="119" spans="2:2" ht="19.5" customHeight="1" x14ac:dyDescent="0.3">
      <c r="B119" s="46"/>
    </row>
    <row r="120" spans="2:2" ht="19.5" customHeight="1" x14ac:dyDescent="0.3">
      <c r="B120" s="46"/>
    </row>
    <row r="121" spans="2:2" ht="19.5" customHeight="1" x14ac:dyDescent="0.3">
      <c r="B121" s="46"/>
    </row>
    <row r="122" spans="2:2" ht="19.5" customHeight="1" x14ac:dyDescent="0.3">
      <c r="B122" s="46"/>
    </row>
    <row r="123" spans="2:2" ht="19.5" customHeight="1" x14ac:dyDescent="0.3">
      <c r="B123" s="46"/>
    </row>
    <row r="124" spans="2:2" ht="19.5" customHeight="1" x14ac:dyDescent="0.3">
      <c r="B124" s="46"/>
    </row>
    <row r="125" spans="2:2" ht="19.5" customHeight="1" x14ac:dyDescent="0.3">
      <c r="B125" s="46"/>
    </row>
    <row r="126" spans="2:2" ht="19.5" customHeight="1" x14ac:dyDescent="0.3">
      <c r="B126" s="46"/>
    </row>
    <row r="127" spans="2:2" ht="19.5" customHeight="1" x14ac:dyDescent="0.3">
      <c r="B127" s="46"/>
    </row>
    <row r="128" spans="2:2" ht="19.5" customHeight="1" x14ac:dyDescent="0.3">
      <c r="B128" s="46"/>
    </row>
    <row r="129" spans="2:2" ht="19.5" customHeight="1" x14ac:dyDescent="0.3">
      <c r="B129" s="46"/>
    </row>
    <row r="130" spans="2:2" ht="19.5" customHeight="1" x14ac:dyDescent="0.3">
      <c r="B130" s="46"/>
    </row>
    <row r="131" spans="2:2" ht="19.5" customHeight="1" x14ac:dyDescent="0.3">
      <c r="B131" s="46"/>
    </row>
    <row r="132" spans="2:2" ht="19.5" customHeight="1" x14ac:dyDescent="0.3">
      <c r="B132" s="46"/>
    </row>
    <row r="133" spans="2:2" ht="19.5" customHeight="1" x14ac:dyDescent="0.3">
      <c r="B133" s="46"/>
    </row>
    <row r="134" spans="2:2" ht="19.5" customHeight="1" x14ac:dyDescent="0.3">
      <c r="B134" s="46"/>
    </row>
    <row r="135" spans="2:2" ht="19.5" customHeight="1" x14ac:dyDescent="0.3">
      <c r="B135" s="46"/>
    </row>
    <row r="136" spans="2:2" ht="19.5" customHeight="1" x14ac:dyDescent="0.3">
      <c r="B136" s="46"/>
    </row>
    <row r="137" spans="2:2" ht="19.5" customHeight="1" x14ac:dyDescent="0.3">
      <c r="B137" s="46"/>
    </row>
    <row r="138" spans="2:2" ht="19.5" customHeight="1" x14ac:dyDescent="0.3">
      <c r="B138" s="46"/>
    </row>
    <row r="139" spans="2:2" ht="19.5" customHeight="1" x14ac:dyDescent="0.3">
      <c r="B139" s="46"/>
    </row>
    <row r="140" spans="2:2" ht="19.5" customHeight="1" x14ac:dyDescent="0.3">
      <c r="B140" s="46"/>
    </row>
    <row r="141" spans="2:2" ht="19.5" customHeight="1" x14ac:dyDescent="0.3">
      <c r="B141" s="46"/>
    </row>
    <row r="142" spans="2:2" ht="19.5" customHeight="1" x14ac:dyDescent="0.3">
      <c r="B142" s="46"/>
    </row>
    <row r="143" spans="2:2" ht="19.5" customHeight="1" x14ac:dyDescent="0.3">
      <c r="B143" s="46"/>
    </row>
    <row r="144" spans="2:2" ht="19.5" customHeight="1" x14ac:dyDescent="0.3">
      <c r="B144" s="46"/>
    </row>
    <row r="145" spans="2:2" ht="19.5" customHeight="1" x14ac:dyDescent="0.3">
      <c r="B145" s="46"/>
    </row>
    <row r="146" spans="2:2" ht="19.5" customHeight="1" x14ac:dyDescent="0.3">
      <c r="B146" s="46"/>
    </row>
    <row r="147" spans="2:2" ht="19.5" customHeight="1" x14ac:dyDescent="0.3">
      <c r="B147" s="46"/>
    </row>
    <row r="148" spans="2:2" ht="19.5" customHeight="1" x14ac:dyDescent="0.3">
      <c r="B148" s="46"/>
    </row>
    <row r="149" spans="2:2" ht="19.5" customHeight="1" x14ac:dyDescent="0.3">
      <c r="B149" s="46"/>
    </row>
    <row r="150" spans="2:2" ht="19.5" customHeight="1" x14ac:dyDescent="0.3">
      <c r="B150" s="46"/>
    </row>
    <row r="151" spans="2:2" ht="19.5" customHeight="1" x14ac:dyDescent="0.3">
      <c r="B151" s="46"/>
    </row>
    <row r="152" spans="2:2" ht="19.5" customHeight="1" x14ac:dyDescent="0.3">
      <c r="B152" s="46"/>
    </row>
    <row r="153" spans="2:2" ht="19.5" customHeight="1" x14ac:dyDescent="0.3">
      <c r="B153" s="46"/>
    </row>
    <row r="154" spans="2:2" ht="19.5" customHeight="1" x14ac:dyDescent="0.3">
      <c r="B154" s="46"/>
    </row>
    <row r="155" spans="2:2" ht="19.5" customHeight="1" x14ac:dyDescent="0.3">
      <c r="B155" s="46"/>
    </row>
    <row r="156" spans="2:2" ht="19.5" customHeight="1" x14ac:dyDescent="0.3">
      <c r="B156" s="46"/>
    </row>
    <row r="157" spans="2:2" ht="19.5" customHeight="1" x14ac:dyDescent="0.3">
      <c r="B157" s="46"/>
    </row>
    <row r="158" spans="2:2" ht="19.5" customHeight="1" x14ac:dyDescent="0.3">
      <c r="B158" s="46"/>
    </row>
    <row r="159" spans="2:2" ht="19.5" customHeight="1" x14ac:dyDescent="0.3">
      <c r="B159" s="46"/>
    </row>
    <row r="160" spans="2:2" ht="19.5" customHeight="1" x14ac:dyDescent="0.3">
      <c r="B160" s="46"/>
    </row>
    <row r="161" spans="2:2" ht="19.5" customHeight="1" x14ac:dyDescent="0.3">
      <c r="B161" s="46"/>
    </row>
    <row r="162" spans="2:2" ht="19.5" customHeight="1" x14ac:dyDescent="0.3">
      <c r="B162" s="46"/>
    </row>
    <row r="163" spans="2:2" ht="19.5" customHeight="1" x14ac:dyDescent="0.3">
      <c r="B163" s="46"/>
    </row>
    <row r="164" spans="2:2" ht="19.5" customHeight="1" x14ac:dyDescent="0.3">
      <c r="B164" s="46"/>
    </row>
    <row r="165" spans="2:2" ht="19.5" customHeight="1" x14ac:dyDescent="0.3">
      <c r="B165" s="46"/>
    </row>
    <row r="166" spans="2:2" ht="19.5" customHeight="1" x14ac:dyDescent="0.3">
      <c r="B166" s="46"/>
    </row>
    <row r="167" spans="2:2" ht="19.5" customHeight="1" x14ac:dyDescent="0.3">
      <c r="B167" s="46"/>
    </row>
    <row r="168" spans="2:2" ht="19.5" customHeight="1" x14ac:dyDescent="0.3">
      <c r="B168" s="46"/>
    </row>
    <row r="169" spans="2:2" ht="19.5" customHeight="1" x14ac:dyDescent="0.3">
      <c r="B169" s="46"/>
    </row>
    <row r="170" spans="2:2" ht="19.5" customHeight="1" x14ac:dyDescent="0.3">
      <c r="B170" s="46"/>
    </row>
    <row r="171" spans="2:2" ht="19.5" customHeight="1" x14ac:dyDescent="0.3">
      <c r="B171" s="46"/>
    </row>
    <row r="172" spans="2:2" ht="19.5" customHeight="1" x14ac:dyDescent="0.3">
      <c r="B172" s="46"/>
    </row>
    <row r="173" spans="2:2" ht="19.5" customHeight="1" x14ac:dyDescent="0.3">
      <c r="B173" s="46"/>
    </row>
    <row r="174" spans="2:2" ht="19.5" customHeight="1" x14ac:dyDescent="0.3">
      <c r="B174" s="46"/>
    </row>
    <row r="175" spans="2:2" ht="19.5" customHeight="1" x14ac:dyDescent="0.3">
      <c r="B175" s="46"/>
    </row>
    <row r="176" spans="2:2" ht="19.5" customHeight="1" x14ac:dyDescent="0.3">
      <c r="B176" s="46"/>
    </row>
    <row r="177" spans="2:2" ht="19.5" customHeight="1" x14ac:dyDescent="0.3">
      <c r="B177" s="46"/>
    </row>
    <row r="178" spans="2:2" ht="19.5" customHeight="1" x14ac:dyDescent="0.3">
      <c r="B178" s="46"/>
    </row>
    <row r="179" spans="2:2" ht="19.5" customHeight="1" x14ac:dyDescent="0.3">
      <c r="B179" s="46"/>
    </row>
    <row r="180" spans="2:2" ht="19.5" customHeight="1" x14ac:dyDescent="0.3">
      <c r="B180" s="46"/>
    </row>
    <row r="181" spans="2:2" ht="19.5" customHeight="1" x14ac:dyDescent="0.3">
      <c r="B181" s="46"/>
    </row>
    <row r="182" spans="2:2" ht="19.5" customHeight="1" x14ac:dyDescent="0.3">
      <c r="B182" s="46"/>
    </row>
    <row r="183" spans="2:2" ht="19.5" customHeight="1" x14ac:dyDescent="0.3">
      <c r="B183" s="46"/>
    </row>
    <row r="184" spans="2:2" ht="19.5" customHeight="1" x14ac:dyDescent="0.3">
      <c r="B184" s="46"/>
    </row>
    <row r="185" spans="2:2" ht="19.5" customHeight="1" x14ac:dyDescent="0.3">
      <c r="B185" s="46"/>
    </row>
    <row r="186" spans="2:2" ht="19.5" customHeight="1" x14ac:dyDescent="0.3">
      <c r="B186" s="46"/>
    </row>
    <row r="187" spans="2:2" ht="19.5" customHeight="1" x14ac:dyDescent="0.3">
      <c r="B187" s="46"/>
    </row>
    <row r="188" spans="2:2" ht="19.5" customHeight="1" x14ac:dyDescent="0.3">
      <c r="B188" s="46"/>
    </row>
    <row r="189" spans="2:2" ht="19.5" customHeight="1" x14ac:dyDescent="0.3">
      <c r="B189" s="46"/>
    </row>
    <row r="190" spans="2:2" ht="19.5" customHeight="1" x14ac:dyDescent="0.3">
      <c r="B190" s="46"/>
    </row>
    <row r="191" spans="2:2" ht="19.5" customHeight="1" x14ac:dyDescent="0.3">
      <c r="B191" s="46"/>
    </row>
    <row r="192" spans="2:2" ht="19.5" customHeight="1" x14ac:dyDescent="0.3">
      <c r="B192" s="46"/>
    </row>
    <row r="193" spans="2:2" ht="19.5" customHeight="1" x14ac:dyDescent="0.3">
      <c r="B193" s="46"/>
    </row>
    <row r="194" spans="2:2" ht="19.5" customHeight="1" x14ac:dyDescent="0.3">
      <c r="B194" s="46"/>
    </row>
    <row r="195" spans="2:2" ht="19.5" customHeight="1" x14ac:dyDescent="0.3">
      <c r="B195" s="46"/>
    </row>
    <row r="196" spans="2:2" ht="19.5" customHeight="1" x14ac:dyDescent="0.3">
      <c r="B196" s="46"/>
    </row>
    <row r="197" spans="2:2" ht="19.5" customHeight="1" x14ac:dyDescent="0.3">
      <c r="B197" s="46"/>
    </row>
    <row r="198" spans="2:2" ht="19.5" customHeight="1" x14ac:dyDescent="0.3">
      <c r="B198" s="46"/>
    </row>
    <row r="199" spans="2:2" ht="19.5" customHeight="1" x14ac:dyDescent="0.3">
      <c r="B199" s="46"/>
    </row>
    <row r="200" spans="2:2" ht="19.5" customHeight="1" x14ac:dyDescent="0.3">
      <c r="B200" s="46"/>
    </row>
    <row r="201" spans="2:2" ht="19.5" customHeight="1" x14ac:dyDescent="0.3">
      <c r="B201" s="46"/>
    </row>
    <row r="202" spans="2:2" ht="19.5" customHeight="1" x14ac:dyDescent="0.3">
      <c r="B202" s="46"/>
    </row>
    <row r="203" spans="2:2" ht="19.5" customHeight="1" x14ac:dyDescent="0.3">
      <c r="B203" s="46"/>
    </row>
    <row r="204" spans="2:2" ht="19.5" customHeight="1" x14ac:dyDescent="0.3">
      <c r="B204" s="46"/>
    </row>
    <row r="205" spans="2:2" ht="19.5" customHeight="1" x14ac:dyDescent="0.3">
      <c r="B205" s="46"/>
    </row>
    <row r="206" spans="2:2" ht="19.5" customHeight="1" x14ac:dyDescent="0.3">
      <c r="B206" s="46"/>
    </row>
    <row r="207" spans="2:2" ht="19.5" customHeight="1" x14ac:dyDescent="0.3">
      <c r="B207" s="46"/>
    </row>
    <row r="208" spans="2:2" ht="19.5" customHeight="1" x14ac:dyDescent="0.3">
      <c r="B208" s="46"/>
    </row>
    <row r="209" spans="2:2" ht="19.5" customHeight="1" x14ac:dyDescent="0.3">
      <c r="B209" s="46"/>
    </row>
    <row r="210" spans="2:2" ht="19.5" customHeight="1" x14ac:dyDescent="0.3">
      <c r="B210" s="46"/>
    </row>
    <row r="211" spans="2:2" ht="19.5" customHeight="1" x14ac:dyDescent="0.3">
      <c r="B211" s="46"/>
    </row>
    <row r="212" spans="2:2" ht="19.5" customHeight="1" x14ac:dyDescent="0.3">
      <c r="B212" s="46"/>
    </row>
    <row r="213" spans="2:2" ht="19.5" customHeight="1" x14ac:dyDescent="0.3">
      <c r="B213" s="46"/>
    </row>
    <row r="214" spans="2:2" ht="19.5" customHeight="1" x14ac:dyDescent="0.3">
      <c r="B214" s="46"/>
    </row>
    <row r="215" spans="2:2" ht="19.5" customHeight="1" x14ac:dyDescent="0.3">
      <c r="B215" s="46"/>
    </row>
    <row r="216" spans="2:2" ht="19.5" customHeight="1" x14ac:dyDescent="0.3">
      <c r="B216" s="46"/>
    </row>
    <row r="217" spans="2:2" ht="19.5" customHeight="1" x14ac:dyDescent="0.3">
      <c r="B217" s="46"/>
    </row>
    <row r="218" spans="2:2" ht="19.5" customHeight="1" x14ac:dyDescent="0.3">
      <c r="B218" s="46"/>
    </row>
    <row r="219" spans="2:2" ht="19.5" customHeight="1" x14ac:dyDescent="0.3">
      <c r="B219" s="46"/>
    </row>
    <row r="220" spans="2:2" ht="19.5" customHeight="1" x14ac:dyDescent="0.3">
      <c r="B220" s="46"/>
    </row>
    <row r="221" spans="2:2" ht="19.5" customHeight="1" x14ac:dyDescent="0.3">
      <c r="B221" s="46"/>
    </row>
    <row r="222" spans="2:2" ht="19.5" customHeight="1" x14ac:dyDescent="0.3">
      <c r="B222" s="46"/>
    </row>
    <row r="223" spans="2:2" ht="19.5" customHeight="1" x14ac:dyDescent="0.3">
      <c r="B223" s="46"/>
    </row>
    <row r="224" spans="2:2" ht="19.5" customHeight="1" x14ac:dyDescent="0.3">
      <c r="B224" s="46"/>
    </row>
    <row r="225" spans="2:2" ht="19.5" customHeight="1" x14ac:dyDescent="0.3">
      <c r="B225" s="46"/>
    </row>
    <row r="226" spans="2:2" ht="19.5" customHeight="1" x14ac:dyDescent="0.3">
      <c r="B226" s="46"/>
    </row>
    <row r="227" spans="2:2" ht="19.5" customHeight="1" x14ac:dyDescent="0.3">
      <c r="B227" s="46"/>
    </row>
    <row r="228" spans="2:2" ht="19.5" customHeight="1" x14ac:dyDescent="0.3">
      <c r="B228" s="46"/>
    </row>
    <row r="229" spans="2:2" ht="19.5" customHeight="1" x14ac:dyDescent="0.3">
      <c r="B229" s="46"/>
    </row>
    <row r="230" spans="2:2" ht="19.5" customHeight="1" x14ac:dyDescent="0.3">
      <c r="B230" s="46"/>
    </row>
    <row r="231" spans="2:2" ht="19.5" customHeight="1" x14ac:dyDescent="0.3">
      <c r="B231" s="46"/>
    </row>
    <row r="232" spans="2:2" ht="19.5" customHeight="1" x14ac:dyDescent="0.3">
      <c r="B232" s="46"/>
    </row>
    <row r="233" spans="2:2" ht="19.5" customHeight="1" x14ac:dyDescent="0.3">
      <c r="B233" s="46"/>
    </row>
    <row r="234" spans="2:2" ht="19.5" customHeight="1" x14ac:dyDescent="0.3">
      <c r="B234" s="46"/>
    </row>
    <row r="235" spans="2:2" ht="19.5" customHeight="1" x14ac:dyDescent="0.3">
      <c r="B235" s="46"/>
    </row>
    <row r="236" spans="2:2" ht="19.5" customHeight="1" x14ac:dyDescent="0.3">
      <c r="B236" s="46"/>
    </row>
    <row r="237" spans="2:2" ht="19.5" customHeight="1" x14ac:dyDescent="0.3">
      <c r="B237" s="46"/>
    </row>
    <row r="238" spans="2:2" ht="19.5" customHeight="1" x14ac:dyDescent="0.3">
      <c r="B238" s="46"/>
    </row>
    <row r="239" spans="2:2" ht="19.5" customHeight="1" x14ac:dyDescent="0.3">
      <c r="B239" s="46"/>
    </row>
    <row r="240" spans="2:2" ht="19.5" customHeight="1" x14ac:dyDescent="0.3">
      <c r="B240" s="46"/>
    </row>
    <row r="241" spans="2:2" ht="19.5" customHeight="1" x14ac:dyDescent="0.3">
      <c r="B241" s="46"/>
    </row>
    <row r="242" spans="2:2" ht="19.5" customHeight="1" x14ac:dyDescent="0.3">
      <c r="B242" s="46"/>
    </row>
    <row r="243" spans="2:2" ht="19.5" customHeight="1" x14ac:dyDescent="0.3">
      <c r="B243" s="46"/>
    </row>
    <row r="244" spans="2:2" ht="19.5" customHeight="1" x14ac:dyDescent="0.3">
      <c r="B244" s="46"/>
    </row>
    <row r="245" spans="2:2" ht="19.5" customHeight="1" x14ac:dyDescent="0.3">
      <c r="B245" s="46"/>
    </row>
    <row r="246" spans="2:2" ht="19.5" customHeight="1" x14ac:dyDescent="0.3">
      <c r="B246" s="46"/>
    </row>
    <row r="247" spans="2:2" ht="19.5" customHeight="1" x14ac:dyDescent="0.3">
      <c r="B247" s="46"/>
    </row>
    <row r="248" spans="2:2" ht="19.5" customHeight="1" x14ac:dyDescent="0.3">
      <c r="B248" s="46"/>
    </row>
    <row r="249" spans="2:2" ht="19.5" customHeight="1" x14ac:dyDescent="0.3">
      <c r="B249" s="46"/>
    </row>
    <row r="250" spans="2:2" ht="19.5" customHeight="1" x14ac:dyDescent="0.3">
      <c r="B250" s="46"/>
    </row>
    <row r="251" spans="2:2" ht="19.5" customHeight="1" x14ac:dyDescent="0.3">
      <c r="B251" s="46"/>
    </row>
    <row r="252" spans="2:2" ht="19.5" customHeight="1" x14ac:dyDescent="0.3">
      <c r="B252" s="46"/>
    </row>
    <row r="253" spans="2:2" ht="19.5" customHeight="1" x14ac:dyDescent="0.3">
      <c r="B253" s="46"/>
    </row>
    <row r="254" spans="2:2" ht="19.5" customHeight="1" x14ac:dyDescent="0.3">
      <c r="B254" s="46"/>
    </row>
    <row r="255" spans="2:2" ht="19.5" customHeight="1" x14ac:dyDescent="0.3">
      <c r="B255" s="46"/>
    </row>
    <row r="256" spans="2:2" ht="19.5" customHeight="1" x14ac:dyDescent="0.3">
      <c r="B256" s="46"/>
    </row>
    <row r="257" spans="2:2" ht="19.5" customHeight="1" x14ac:dyDescent="0.3">
      <c r="B257" s="46"/>
    </row>
    <row r="258" spans="2:2" ht="19.5" customHeight="1" x14ac:dyDescent="0.3">
      <c r="B258" s="46"/>
    </row>
    <row r="259" spans="2:2" ht="19.5" customHeight="1" x14ac:dyDescent="0.3">
      <c r="B259" s="46"/>
    </row>
    <row r="260" spans="2:2" ht="19.5" customHeight="1" x14ac:dyDescent="0.3">
      <c r="B260" s="46"/>
    </row>
    <row r="261" spans="2:2" ht="19.5" customHeight="1" x14ac:dyDescent="0.3">
      <c r="B261" s="46"/>
    </row>
    <row r="262" spans="2:2" ht="19.5" customHeight="1" x14ac:dyDescent="0.3">
      <c r="B262" s="46"/>
    </row>
    <row r="263" spans="2:2" ht="19.5" customHeight="1" x14ac:dyDescent="0.3">
      <c r="B263" s="46"/>
    </row>
    <row r="264" spans="2:2" ht="19.5" customHeight="1" x14ac:dyDescent="0.3">
      <c r="B264" s="46"/>
    </row>
    <row r="265" spans="2:2" ht="19.5" customHeight="1" x14ac:dyDescent="0.3">
      <c r="B265" s="46"/>
    </row>
    <row r="266" spans="2:2" ht="19.5" customHeight="1" x14ac:dyDescent="0.3">
      <c r="B266" s="46"/>
    </row>
    <row r="267" spans="2:2" ht="19.5" customHeight="1" x14ac:dyDescent="0.3">
      <c r="B267" s="46"/>
    </row>
    <row r="268" spans="2:2" ht="19.5" customHeight="1" x14ac:dyDescent="0.3">
      <c r="B268" s="46"/>
    </row>
    <row r="269" spans="2:2" ht="19.5" customHeight="1" x14ac:dyDescent="0.3">
      <c r="B269" s="46"/>
    </row>
    <row r="270" spans="2:2" ht="19.5" customHeight="1" x14ac:dyDescent="0.3">
      <c r="B270" s="46"/>
    </row>
    <row r="271" spans="2:2" ht="19.5" customHeight="1" x14ac:dyDescent="0.3">
      <c r="B271" s="46"/>
    </row>
    <row r="272" spans="2:2" ht="19.5" customHeight="1" x14ac:dyDescent="0.3">
      <c r="B272" s="46"/>
    </row>
    <row r="273" spans="2:2" ht="19.5" customHeight="1" x14ac:dyDescent="0.3">
      <c r="B273" s="46"/>
    </row>
    <row r="274" spans="2:2" ht="19.5" customHeight="1" x14ac:dyDescent="0.3">
      <c r="B274" s="46"/>
    </row>
    <row r="275" spans="2:2" ht="19.5" customHeight="1" x14ac:dyDescent="0.3">
      <c r="B275" s="46"/>
    </row>
    <row r="276" spans="2:2" ht="19.5" customHeight="1" x14ac:dyDescent="0.3">
      <c r="B276" s="46"/>
    </row>
    <row r="277" spans="2:2" ht="19.5" customHeight="1" x14ac:dyDescent="0.3">
      <c r="B277" s="46"/>
    </row>
    <row r="278" spans="2:2" ht="19.5" customHeight="1" x14ac:dyDescent="0.3">
      <c r="B278" s="46"/>
    </row>
    <row r="279" spans="2:2" ht="19.5" customHeight="1" x14ac:dyDescent="0.3">
      <c r="B279" s="46"/>
    </row>
    <row r="280" spans="2:2" ht="19.5" customHeight="1" x14ac:dyDescent="0.3">
      <c r="B280" s="46"/>
    </row>
    <row r="281" spans="2:2" ht="19.5" customHeight="1" x14ac:dyDescent="0.3">
      <c r="B281" s="46"/>
    </row>
    <row r="282" spans="2:2" ht="19.5" customHeight="1" x14ac:dyDescent="0.3">
      <c r="B282" s="46"/>
    </row>
    <row r="283" spans="2:2" ht="19.5" customHeight="1" x14ac:dyDescent="0.3">
      <c r="B283" s="46"/>
    </row>
    <row r="284" spans="2:2" ht="19.5" customHeight="1" x14ac:dyDescent="0.3">
      <c r="B284" s="46"/>
    </row>
    <row r="285" spans="2:2" ht="19.5" customHeight="1" x14ac:dyDescent="0.3">
      <c r="B285" s="46"/>
    </row>
    <row r="286" spans="2:2" ht="19.5" customHeight="1" x14ac:dyDescent="0.3">
      <c r="B286" s="46"/>
    </row>
    <row r="287" spans="2:2" ht="19.5" customHeight="1" x14ac:dyDescent="0.3">
      <c r="B287" s="46"/>
    </row>
    <row r="288" spans="2:2" ht="19.5" customHeight="1" x14ac:dyDescent="0.3">
      <c r="B288" s="46"/>
    </row>
    <row r="289" spans="2:2" ht="19.5" customHeight="1" x14ac:dyDescent="0.3">
      <c r="B289" s="46"/>
    </row>
    <row r="290" spans="2:2" ht="19.5" customHeight="1" x14ac:dyDescent="0.3">
      <c r="B290" s="46"/>
    </row>
    <row r="291" spans="2:2" ht="19.5" customHeight="1" x14ac:dyDescent="0.3">
      <c r="B291" s="46"/>
    </row>
    <row r="292" spans="2:2" ht="19.5" customHeight="1" x14ac:dyDescent="0.3">
      <c r="B292" s="46"/>
    </row>
    <row r="293" spans="2:2" ht="19.5" customHeight="1" x14ac:dyDescent="0.3">
      <c r="B293" s="46"/>
    </row>
    <row r="294" spans="2:2" ht="19.5" customHeight="1" x14ac:dyDescent="0.3">
      <c r="B294" s="46"/>
    </row>
    <row r="295" spans="2:2" ht="19.5" customHeight="1" x14ac:dyDescent="0.3">
      <c r="B295" s="46"/>
    </row>
    <row r="296" spans="2:2" ht="19.5" customHeight="1" x14ac:dyDescent="0.3">
      <c r="B296" s="46"/>
    </row>
    <row r="297" spans="2:2" ht="19.5" customHeight="1" x14ac:dyDescent="0.3">
      <c r="B297" s="46"/>
    </row>
    <row r="298" spans="2:2" ht="19.5" customHeight="1" x14ac:dyDescent="0.3">
      <c r="B298" s="46"/>
    </row>
    <row r="299" spans="2:2" ht="19.5" customHeight="1" x14ac:dyDescent="0.3">
      <c r="B299" s="46"/>
    </row>
    <row r="300" spans="2:2" ht="19.5" customHeight="1" x14ac:dyDescent="0.3">
      <c r="B300" s="46"/>
    </row>
    <row r="301" spans="2:2" ht="19.5" customHeight="1" x14ac:dyDescent="0.3">
      <c r="B301" s="46"/>
    </row>
    <row r="302" spans="2:2" ht="19.5" customHeight="1" x14ac:dyDescent="0.3">
      <c r="B302" s="46"/>
    </row>
    <row r="303" spans="2:2" ht="19.5" customHeight="1" x14ac:dyDescent="0.3">
      <c r="B303" s="46"/>
    </row>
    <row r="304" spans="2:2" ht="19.5" customHeight="1" x14ac:dyDescent="0.3">
      <c r="B304" s="46"/>
    </row>
    <row r="305" spans="2:2" ht="19.5" customHeight="1" x14ac:dyDescent="0.3">
      <c r="B305" s="46"/>
    </row>
    <row r="306" spans="2:2" ht="19.5" customHeight="1" x14ac:dyDescent="0.3">
      <c r="B306" s="46"/>
    </row>
    <row r="307" spans="2:2" ht="19.5" customHeight="1" x14ac:dyDescent="0.3">
      <c r="B307" s="46"/>
    </row>
    <row r="308" spans="2:2" ht="19.5" customHeight="1" x14ac:dyDescent="0.3">
      <c r="B308" s="46"/>
    </row>
    <row r="309" spans="2:2" ht="19.5" customHeight="1" x14ac:dyDescent="0.3">
      <c r="B309" s="46"/>
    </row>
    <row r="310" spans="2:2" ht="19.5" customHeight="1" x14ac:dyDescent="0.3">
      <c r="B310" s="46"/>
    </row>
    <row r="311" spans="2:2" ht="19.5" customHeight="1" x14ac:dyDescent="0.3">
      <c r="B311" s="46"/>
    </row>
    <row r="312" spans="2:2" ht="19.5" customHeight="1" x14ac:dyDescent="0.3">
      <c r="B312" s="46"/>
    </row>
    <row r="313" spans="2:2" ht="19.5" customHeight="1" x14ac:dyDescent="0.3">
      <c r="B313" s="46"/>
    </row>
    <row r="314" spans="2:2" ht="19.5" customHeight="1" x14ac:dyDescent="0.3">
      <c r="B314" s="46"/>
    </row>
    <row r="315" spans="2:2" ht="19.5" customHeight="1" x14ac:dyDescent="0.3">
      <c r="B315" s="46"/>
    </row>
    <row r="316" spans="2:2" ht="19.5" customHeight="1" x14ac:dyDescent="0.3">
      <c r="B316" s="46"/>
    </row>
    <row r="317" spans="2:2" ht="19.5" customHeight="1" x14ac:dyDescent="0.3">
      <c r="B317" s="46"/>
    </row>
    <row r="318" spans="2:2" ht="19.5" customHeight="1" x14ac:dyDescent="0.3">
      <c r="B318" s="46"/>
    </row>
    <row r="319" spans="2:2" ht="19.5" customHeight="1" x14ac:dyDescent="0.3">
      <c r="B319" s="46"/>
    </row>
    <row r="320" spans="2:2" ht="19.5" customHeight="1" x14ac:dyDescent="0.3">
      <c r="B320" s="46"/>
    </row>
    <row r="321" spans="2:2" ht="19.5" customHeight="1" x14ac:dyDescent="0.3">
      <c r="B321" s="46"/>
    </row>
    <row r="322" spans="2:2" ht="19.5" customHeight="1" x14ac:dyDescent="0.3">
      <c r="B322" s="46"/>
    </row>
    <row r="323" spans="2:2" ht="19.5" customHeight="1" x14ac:dyDescent="0.3">
      <c r="B323" s="46"/>
    </row>
    <row r="324" spans="2:2" ht="19.5" customHeight="1" x14ac:dyDescent="0.3">
      <c r="B324" s="46"/>
    </row>
    <row r="325" spans="2:2" ht="19.5" customHeight="1" x14ac:dyDescent="0.3">
      <c r="B325" s="46"/>
    </row>
    <row r="326" spans="2:2" ht="19.5" customHeight="1" x14ac:dyDescent="0.3">
      <c r="B326" s="46"/>
    </row>
    <row r="327" spans="2:2" ht="19.5" customHeight="1" x14ac:dyDescent="0.3">
      <c r="B327" s="46"/>
    </row>
    <row r="328" spans="2:2" ht="19.5" customHeight="1" x14ac:dyDescent="0.3">
      <c r="B328" s="46"/>
    </row>
    <row r="329" spans="2:2" ht="19.5" customHeight="1" x14ac:dyDescent="0.3">
      <c r="B329" s="46"/>
    </row>
    <row r="330" spans="2:2" ht="19.5" customHeight="1" x14ac:dyDescent="0.3">
      <c r="B330" s="46"/>
    </row>
    <row r="331" spans="2:2" ht="19.5" customHeight="1" x14ac:dyDescent="0.3">
      <c r="B331" s="46"/>
    </row>
    <row r="332" spans="2:2" ht="19.5" customHeight="1" x14ac:dyDescent="0.3">
      <c r="B332" s="46"/>
    </row>
    <row r="333" spans="2:2" ht="19.5" customHeight="1" x14ac:dyDescent="0.3">
      <c r="B333" s="46"/>
    </row>
    <row r="334" spans="2:2" ht="19.5" customHeight="1" x14ac:dyDescent="0.3">
      <c r="B334" s="46"/>
    </row>
    <row r="335" spans="2:2" ht="19.5" customHeight="1" x14ac:dyDescent="0.3">
      <c r="B335" s="46"/>
    </row>
    <row r="336" spans="2:2" ht="19.5" customHeight="1" x14ac:dyDescent="0.3">
      <c r="B336" s="46"/>
    </row>
    <row r="337" spans="2:2" ht="19.5" customHeight="1" x14ac:dyDescent="0.3">
      <c r="B337" s="46"/>
    </row>
    <row r="338" spans="2:2" ht="19.5" customHeight="1" x14ac:dyDescent="0.3">
      <c r="B338" s="46"/>
    </row>
    <row r="339" spans="2:2" ht="19.5" customHeight="1" x14ac:dyDescent="0.3">
      <c r="B339" s="46"/>
    </row>
    <row r="340" spans="2:2" ht="19.5" customHeight="1" x14ac:dyDescent="0.3">
      <c r="B340" s="46"/>
    </row>
    <row r="341" spans="2:2" ht="19.5" customHeight="1" x14ac:dyDescent="0.3">
      <c r="B341" s="46"/>
    </row>
    <row r="342" spans="2:2" ht="19.5" customHeight="1" x14ac:dyDescent="0.3">
      <c r="B342" s="46"/>
    </row>
    <row r="343" spans="2:2" ht="19.5" customHeight="1" x14ac:dyDescent="0.3">
      <c r="B343" s="46"/>
    </row>
    <row r="344" spans="2:2" ht="19.5" customHeight="1" x14ac:dyDescent="0.3">
      <c r="B344" s="46"/>
    </row>
    <row r="345" spans="2:2" ht="19.5" customHeight="1" x14ac:dyDescent="0.3">
      <c r="B345" s="46"/>
    </row>
    <row r="346" spans="2:2" ht="19.5" customHeight="1" x14ac:dyDescent="0.3">
      <c r="B346" s="46"/>
    </row>
    <row r="347" spans="2:2" ht="19.5" customHeight="1" x14ac:dyDescent="0.3">
      <c r="B347" s="46"/>
    </row>
    <row r="348" spans="2:2" ht="19.5" customHeight="1" x14ac:dyDescent="0.3">
      <c r="B348" s="46"/>
    </row>
    <row r="349" spans="2:2" ht="19.5" customHeight="1" x14ac:dyDescent="0.3">
      <c r="B349" s="46"/>
    </row>
    <row r="350" spans="2:2" ht="19.5" customHeight="1" x14ac:dyDescent="0.3">
      <c r="B350" s="46"/>
    </row>
    <row r="351" spans="2:2" ht="19.5" customHeight="1" x14ac:dyDescent="0.3">
      <c r="B351" s="46"/>
    </row>
    <row r="352" spans="2:2" ht="19.5" customHeight="1" x14ac:dyDescent="0.3">
      <c r="B352" s="46"/>
    </row>
    <row r="353" spans="2:2" ht="19.5" customHeight="1" x14ac:dyDescent="0.3">
      <c r="B353" s="46"/>
    </row>
    <row r="354" spans="2:2" ht="19.5" customHeight="1" x14ac:dyDescent="0.3">
      <c r="B354" s="46"/>
    </row>
    <row r="355" spans="2:2" ht="19.5" customHeight="1" x14ac:dyDescent="0.3">
      <c r="B355" s="46"/>
    </row>
    <row r="356" spans="2:2" ht="19.5" customHeight="1" x14ac:dyDescent="0.3">
      <c r="B356" s="46"/>
    </row>
    <row r="357" spans="2:2" ht="19.5" customHeight="1" x14ac:dyDescent="0.3">
      <c r="B357" s="46"/>
    </row>
    <row r="358" spans="2:2" ht="19.5" customHeight="1" x14ac:dyDescent="0.3">
      <c r="B358" s="46"/>
    </row>
    <row r="359" spans="2:2" ht="19.5" customHeight="1" x14ac:dyDescent="0.3">
      <c r="B359" s="46"/>
    </row>
    <row r="360" spans="2:2" ht="19.5" customHeight="1" x14ac:dyDescent="0.3">
      <c r="B360" s="46"/>
    </row>
    <row r="361" spans="2:2" ht="19.5" customHeight="1" x14ac:dyDescent="0.3">
      <c r="B361" s="46"/>
    </row>
    <row r="362" spans="2:2" ht="19.5" customHeight="1" x14ac:dyDescent="0.3">
      <c r="B362" s="46"/>
    </row>
    <row r="363" spans="2:2" ht="19.5" customHeight="1" x14ac:dyDescent="0.3">
      <c r="B363" s="46"/>
    </row>
    <row r="364" spans="2:2" ht="19.5" customHeight="1" x14ac:dyDescent="0.3">
      <c r="B364" s="46"/>
    </row>
    <row r="365" spans="2:2" ht="19.5" customHeight="1" x14ac:dyDescent="0.3">
      <c r="B365" s="46"/>
    </row>
    <row r="366" spans="2:2" ht="19.5" customHeight="1" x14ac:dyDescent="0.3">
      <c r="B366" s="46"/>
    </row>
    <row r="367" spans="2:2" ht="19.5" customHeight="1" x14ac:dyDescent="0.3">
      <c r="B367" s="46"/>
    </row>
    <row r="368" spans="2:2" ht="19.5" customHeight="1" x14ac:dyDescent="0.3">
      <c r="B368" s="46"/>
    </row>
    <row r="369" spans="2:2" ht="19.5" customHeight="1" x14ac:dyDescent="0.3">
      <c r="B369" s="46"/>
    </row>
    <row r="370" spans="2:2" ht="19.5" customHeight="1" x14ac:dyDescent="0.3">
      <c r="B370" s="46"/>
    </row>
    <row r="371" spans="2:2" ht="19.5" customHeight="1" x14ac:dyDescent="0.3">
      <c r="B371" s="46"/>
    </row>
    <row r="372" spans="2:2" ht="19.5" customHeight="1" x14ac:dyDescent="0.3">
      <c r="B372" s="46"/>
    </row>
    <row r="373" spans="2:2" ht="19.5" customHeight="1" x14ac:dyDescent="0.3">
      <c r="B373" s="46"/>
    </row>
    <row r="374" spans="2:2" ht="19.5" customHeight="1" x14ac:dyDescent="0.3">
      <c r="B374" s="46"/>
    </row>
    <row r="375" spans="2:2" ht="19.5" customHeight="1" x14ac:dyDescent="0.3">
      <c r="B375" s="46"/>
    </row>
    <row r="376" spans="2:2" ht="19.5" customHeight="1" x14ac:dyDescent="0.3">
      <c r="B376" s="46"/>
    </row>
    <row r="377" spans="2:2" ht="19.5" customHeight="1" x14ac:dyDescent="0.3">
      <c r="B377" s="46"/>
    </row>
    <row r="378" spans="2:2" ht="19.5" customHeight="1" x14ac:dyDescent="0.3">
      <c r="B378" s="46"/>
    </row>
    <row r="379" spans="2:2" ht="19.5" customHeight="1" x14ac:dyDescent="0.3">
      <c r="B379" s="46"/>
    </row>
    <row r="380" spans="2:2" ht="19.5" customHeight="1" x14ac:dyDescent="0.3">
      <c r="B380" s="46"/>
    </row>
    <row r="381" spans="2:2" ht="19.5" customHeight="1" x14ac:dyDescent="0.3">
      <c r="B381" s="46"/>
    </row>
    <row r="382" spans="2:2" ht="19.5" customHeight="1" x14ac:dyDescent="0.3">
      <c r="B382" s="46"/>
    </row>
    <row r="383" spans="2:2" ht="19.5" customHeight="1" x14ac:dyDescent="0.3">
      <c r="B383" s="46"/>
    </row>
    <row r="384" spans="2:2" ht="19.5" customHeight="1" x14ac:dyDescent="0.3">
      <c r="B384" s="46"/>
    </row>
    <row r="385" spans="2:2" ht="19.5" customHeight="1" x14ac:dyDescent="0.3">
      <c r="B385" s="46"/>
    </row>
    <row r="386" spans="2:2" ht="19.5" customHeight="1" x14ac:dyDescent="0.3">
      <c r="B386" s="46"/>
    </row>
    <row r="387" spans="2:2" ht="19.5" customHeight="1" x14ac:dyDescent="0.3">
      <c r="B387" s="46"/>
    </row>
    <row r="388" spans="2:2" ht="19.5" customHeight="1" x14ac:dyDescent="0.3">
      <c r="B388" s="46"/>
    </row>
    <row r="389" spans="2:2" ht="19.5" customHeight="1" x14ac:dyDescent="0.3">
      <c r="B389" s="46"/>
    </row>
    <row r="390" spans="2:2" ht="19.5" customHeight="1" x14ac:dyDescent="0.3">
      <c r="B390" s="46"/>
    </row>
    <row r="391" spans="2:2" ht="19.5" customHeight="1" x14ac:dyDescent="0.3">
      <c r="B391" s="46"/>
    </row>
    <row r="392" spans="2:2" ht="19.5" customHeight="1" x14ac:dyDescent="0.3">
      <c r="B392" s="46"/>
    </row>
    <row r="393" spans="2:2" ht="19.5" customHeight="1" x14ac:dyDescent="0.3">
      <c r="B393" s="46"/>
    </row>
    <row r="394" spans="2:2" ht="19.5" customHeight="1" x14ac:dyDescent="0.3">
      <c r="B394" s="46"/>
    </row>
    <row r="395" spans="2:2" ht="19.5" customHeight="1" x14ac:dyDescent="0.3">
      <c r="B395" s="46"/>
    </row>
    <row r="396" spans="2:2" ht="19.5" customHeight="1" x14ac:dyDescent="0.3">
      <c r="B396" s="46"/>
    </row>
    <row r="397" spans="2:2" ht="19.5" customHeight="1" x14ac:dyDescent="0.3">
      <c r="B397" s="46"/>
    </row>
    <row r="398" spans="2:2" ht="19.5" customHeight="1" x14ac:dyDescent="0.3">
      <c r="B398" s="46"/>
    </row>
    <row r="399" spans="2:2" ht="19.5" customHeight="1" x14ac:dyDescent="0.3">
      <c r="B399" s="46"/>
    </row>
    <row r="400" spans="2:2" ht="19.5" customHeight="1" x14ac:dyDescent="0.3">
      <c r="B400" s="46"/>
    </row>
    <row r="401" spans="2:2" ht="19.5" customHeight="1" x14ac:dyDescent="0.3">
      <c r="B401" s="46"/>
    </row>
    <row r="402" spans="2:2" ht="19.5" customHeight="1" x14ac:dyDescent="0.3">
      <c r="B402" s="46"/>
    </row>
    <row r="403" spans="2:2" ht="19.5" customHeight="1" x14ac:dyDescent="0.3">
      <c r="B403" s="46"/>
    </row>
    <row r="404" spans="2:2" ht="19.5" customHeight="1" x14ac:dyDescent="0.3">
      <c r="B404" s="46"/>
    </row>
    <row r="405" spans="2:2" ht="19.5" customHeight="1" x14ac:dyDescent="0.3">
      <c r="B405" s="46"/>
    </row>
    <row r="406" spans="2:2" ht="19.5" customHeight="1" x14ac:dyDescent="0.3">
      <c r="B406" s="46"/>
    </row>
    <row r="407" spans="2:2" ht="19.5" customHeight="1" x14ac:dyDescent="0.3">
      <c r="B407" s="46"/>
    </row>
    <row r="408" spans="2:2" ht="19.5" customHeight="1" x14ac:dyDescent="0.3">
      <c r="B408" s="46"/>
    </row>
    <row r="409" spans="2:2" ht="19.5" customHeight="1" x14ac:dyDescent="0.3">
      <c r="B409" s="46"/>
    </row>
    <row r="410" spans="2:2" ht="19.5" customHeight="1" x14ac:dyDescent="0.3">
      <c r="B410" s="46"/>
    </row>
    <row r="411" spans="2:2" ht="19.5" customHeight="1" x14ac:dyDescent="0.3">
      <c r="B411" s="46"/>
    </row>
    <row r="412" spans="2:2" ht="19.5" customHeight="1" x14ac:dyDescent="0.3">
      <c r="B412" s="46"/>
    </row>
    <row r="413" spans="2:2" ht="19.5" customHeight="1" x14ac:dyDescent="0.3">
      <c r="B413" s="46"/>
    </row>
    <row r="414" spans="2:2" ht="19.5" customHeight="1" x14ac:dyDescent="0.3">
      <c r="B414" s="46"/>
    </row>
    <row r="415" spans="2:2" ht="19.5" customHeight="1" x14ac:dyDescent="0.3">
      <c r="B415" s="46"/>
    </row>
    <row r="416" spans="2:2" ht="19.5" customHeight="1" x14ac:dyDescent="0.3">
      <c r="B416" s="46"/>
    </row>
    <row r="417" spans="2:2" ht="19.5" customHeight="1" x14ac:dyDescent="0.3">
      <c r="B417" s="46"/>
    </row>
    <row r="418" spans="2:2" ht="19.5" customHeight="1" x14ac:dyDescent="0.3">
      <c r="B418" s="46"/>
    </row>
    <row r="419" spans="2:2" ht="19.5" customHeight="1" x14ac:dyDescent="0.3">
      <c r="B419" s="46"/>
    </row>
    <row r="420" spans="2:2" ht="19.5" customHeight="1" x14ac:dyDescent="0.3">
      <c r="B420" s="46"/>
    </row>
    <row r="421" spans="2:2" ht="19.5" customHeight="1" x14ac:dyDescent="0.3">
      <c r="B421" s="46"/>
    </row>
    <row r="422" spans="2:2" ht="19.5" customHeight="1" x14ac:dyDescent="0.3">
      <c r="B422" s="46"/>
    </row>
    <row r="423" spans="2:2" ht="19.5" customHeight="1" x14ac:dyDescent="0.3">
      <c r="B423" s="46"/>
    </row>
    <row r="424" spans="2:2" ht="19.5" customHeight="1" x14ac:dyDescent="0.3">
      <c r="B424" s="46"/>
    </row>
    <row r="425" spans="2:2" ht="19.5" customHeight="1" x14ac:dyDescent="0.3">
      <c r="B425" s="46"/>
    </row>
    <row r="426" spans="2:2" ht="19.5" customHeight="1" x14ac:dyDescent="0.3">
      <c r="B426" s="46"/>
    </row>
    <row r="427" spans="2:2" ht="19.5" customHeight="1" x14ac:dyDescent="0.3">
      <c r="B427" s="46"/>
    </row>
    <row r="428" spans="2:2" ht="19.5" customHeight="1" x14ac:dyDescent="0.3">
      <c r="B428" s="46"/>
    </row>
    <row r="429" spans="2:2" ht="19.5" customHeight="1" x14ac:dyDescent="0.3">
      <c r="B429" s="46"/>
    </row>
    <row r="430" spans="2:2" ht="19.5" customHeight="1" x14ac:dyDescent="0.3">
      <c r="B430" s="46"/>
    </row>
    <row r="431" spans="2:2" ht="19.5" customHeight="1" x14ac:dyDescent="0.3">
      <c r="B431" s="46"/>
    </row>
    <row r="432" spans="2:2" ht="19.5" customHeight="1" x14ac:dyDescent="0.3">
      <c r="B432" s="46"/>
    </row>
    <row r="433" spans="2:2" ht="19.5" customHeight="1" x14ac:dyDescent="0.3">
      <c r="B433" s="46"/>
    </row>
    <row r="434" spans="2:2" ht="19.5" customHeight="1" x14ac:dyDescent="0.3">
      <c r="B434" s="46"/>
    </row>
    <row r="435" spans="2:2" ht="19.5" customHeight="1" x14ac:dyDescent="0.3">
      <c r="B435" s="46"/>
    </row>
    <row r="436" spans="2:2" ht="19.5" customHeight="1" x14ac:dyDescent="0.3">
      <c r="B436" s="46"/>
    </row>
    <row r="437" spans="2:2" ht="19.5" customHeight="1" x14ac:dyDescent="0.3">
      <c r="B437" s="46"/>
    </row>
    <row r="438" spans="2:2" ht="19.5" customHeight="1" x14ac:dyDescent="0.3">
      <c r="B438" s="46"/>
    </row>
    <row r="439" spans="2:2" ht="19.5" customHeight="1" x14ac:dyDescent="0.3">
      <c r="B439" s="46"/>
    </row>
    <row r="440" spans="2:2" ht="19.5" customHeight="1" x14ac:dyDescent="0.3">
      <c r="B440" s="46"/>
    </row>
    <row r="441" spans="2:2" ht="19.5" customHeight="1" x14ac:dyDescent="0.3">
      <c r="B441" s="46"/>
    </row>
    <row r="442" spans="2:2" ht="19.5" customHeight="1" x14ac:dyDescent="0.3">
      <c r="B442" s="46"/>
    </row>
    <row r="443" spans="2:2" ht="19.5" customHeight="1" x14ac:dyDescent="0.3">
      <c r="B443" s="46"/>
    </row>
    <row r="444" spans="2:2" ht="19.5" customHeight="1" x14ac:dyDescent="0.3">
      <c r="B444" s="46"/>
    </row>
    <row r="445" spans="2:2" ht="19.5" customHeight="1" x14ac:dyDescent="0.3">
      <c r="B445" s="46"/>
    </row>
    <row r="446" spans="2:2" ht="19.5" customHeight="1" x14ac:dyDescent="0.3">
      <c r="B446" s="46"/>
    </row>
    <row r="447" spans="2:2" ht="19.5" customHeight="1" x14ac:dyDescent="0.3">
      <c r="B447" s="46"/>
    </row>
    <row r="448" spans="2:2" ht="19.5" customHeight="1" x14ac:dyDescent="0.3">
      <c r="B448" s="46"/>
    </row>
    <row r="449" spans="2:2" ht="19.5" customHeight="1" x14ac:dyDescent="0.3">
      <c r="B449" s="46"/>
    </row>
    <row r="450" spans="2:2" ht="19.5" customHeight="1" x14ac:dyDescent="0.3">
      <c r="B450" s="46"/>
    </row>
    <row r="451" spans="2:2" ht="19.5" customHeight="1" x14ac:dyDescent="0.3">
      <c r="B451" s="46"/>
    </row>
    <row r="452" spans="2:2" ht="19.5" customHeight="1" x14ac:dyDescent="0.3">
      <c r="B452" s="46"/>
    </row>
    <row r="453" spans="2:2" ht="19.5" customHeight="1" x14ac:dyDescent="0.3">
      <c r="B453" s="46"/>
    </row>
    <row r="454" spans="2:2" ht="19.5" customHeight="1" x14ac:dyDescent="0.3">
      <c r="B454" s="46"/>
    </row>
    <row r="455" spans="2:2" ht="19.5" customHeight="1" x14ac:dyDescent="0.3">
      <c r="B455" s="46"/>
    </row>
    <row r="456" spans="2:2" ht="19.5" customHeight="1" x14ac:dyDescent="0.3">
      <c r="B456" s="46"/>
    </row>
    <row r="457" spans="2:2" ht="19.5" customHeight="1" x14ac:dyDescent="0.3">
      <c r="B457" s="46"/>
    </row>
    <row r="458" spans="2:2" ht="19.5" customHeight="1" x14ac:dyDescent="0.3">
      <c r="B458" s="46"/>
    </row>
    <row r="459" spans="2:2" ht="19.5" customHeight="1" x14ac:dyDescent="0.3">
      <c r="B459" s="46"/>
    </row>
    <row r="460" spans="2:2" ht="19.5" customHeight="1" x14ac:dyDescent="0.3">
      <c r="B460" s="46"/>
    </row>
    <row r="461" spans="2:2" ht="19.5" customHeight="1" x14ac:dyDescent="0.3">
      <c r="B461" s="46"/>
    </row>
    <row r="462" spans="2:2" ht="19.5" customHeight="1" x14ac:dyDescent="0.3">
      <c r="B462" s="46"/>
    </row>
    <row r="463" spans="2:2" ht="19.5" customHeight="1" x14ac:dyDescent="0.3">
      <c r="B463" s="46"/>
    </row>
    <row r="464" spans="2:2" ht="19.5" customHeight="1" x14ac:dyDescent="0.3">
      <c r="B464" s="46"/>
    </row>
    <row r="465" spans="2:2" ht="19.5" customHeight="1" x14ac:dyDescent="0.3">
      <c r="B465" s="46"/>
    </row>
    <row r="466" spans="2:2" ht="19.5" customHeight="1" x14ac:dyDescent="0.3">
      <c r="B466" s="46"/>
    </row>
    <row r="467" spans="2:2" ht="19.5" customHeight="1" x14ac:dyDescent="0.3">
      <c r="B467" s="46"/>
    </row>
    <row r="468" spans="2:2" ht="19.5" customHeight="1" x14ac:dyDescent="0.3">
      <c r="B468" s="46"/>
    </row>
    <row r="469" spans="2:2" ht="19.5" customHeight="1" x14ac:dyDescent="0.3">
      <c r="B469" s="46"/>
    </row>
    <row r="470" spans="2:2" ht="19.5" customHeight="1" x14ac:dyDescent="0.3">
      <c r="B470" s="46"/>
    </row>
    <row r="471" spans="2:2" ht="19.5" customHeight="1" x14ac:dyDescent="0.3">
      <c r="B471" s="46"/>
    </row>
    <row r="472" spans="2:2" ht="19.5" customHeight="1" x14ac:dyDescent="0.3">
      <c r="B472" s="46"/>
    </row>
    <row r="473" spans="2:2" ht="19.5" customHeight="1" x14ac:dyDescent="0.3">
      <c r="B473" s="46"/>
    </row>
    <row r="474" spans="2:2" ht="19.5" customHeight="1" x14ac:dyDescent="0.3">
      <c r="B474" s="46"/>
    </row>
    <row r="475" spans="2:2" ht="19.5" customHeight="1" x14ac:dyDescent="0.3">
      <c r="B475" s="46"/>
    </row>
    <row r="476" spans="2:2" ht="19.5" customHeight="1" x14ac:dyDescent="0.3">
      <c r="B476" s="46"/>
    </row>
    <row r="477" spans="2:2" ht="19.5" customHeight="1" x14ac:dyDescent="0.3">
      <c r="B477" s="46"/>
    </row>
    <row r="478" spans="2:2" ht="19.5" customHeight="1" x14ac:dyDescent="0.3">
      <c r="B478" s="46"/>
    </row>
    <row r="479" spans="2:2" ht="19.5" customHeight="1" x14ac:dyDescent="0.3">
      <c r="B479" s="46"/>
    </row>
    <row r="480" spans="2:2" ht="19.5" customHeight="1" x14ac:dyDescent="0.3">
      <c r="B480" s="46"/>
    </row>
    <row r="481" spans="2:2" ht="19.5" customHeight="1" x14ac:dyDescent="0.3">
      <c r="B481" s="46"/>
    </row>
    <row r="482" spans="2:2" ht="19.5" customHeight="1" x14ac:dyDescent="0.3">
      <c r="B482" s="46"/>
    </row>
    <row r="483" spans="2:2" ht="19.5" customHeight="1" x14ac:dyDescent="0.3">
      <c r="B483" s="46"/>
    </row>
    <row r="484" spans="2:2" ht="19.5" customHeight="1" x14ac:dyDescent="0.3">
      <c r="B484" s="46"/>
    </row>
    <row r="485" spans="2:2" ht="19.5" customHeight="1" x14ac:dyDescent="0.3">
      <c r="B485" s="46"/>
    </row>
    <row r="486" spans="2:2" ht="19.5" customHeight="1" x14ac:dyDescent="0.3">
      <c r="B486" s="46"/>
    </row>
    <row r="487" spans="2:2" ht="19.5" customHeight="1" x14ac:dyDescent="0.3">
      <c r="B487" s="46"/>
    </row>
    <row r="488" spans="2:2" ht="19.5" customHeight="1" x14ac:dyDescent="0.3">
      <c r="B488" s="46"/>
    </row>
    <row r="489" spans="2:2" ht="19.5" customHeight="1" x14ac:dyDescent="0.3">
      <c r="B489" s="46"/>
    </row>
    <row r="490" spans="2:2" ht="19.5" customHeight="1" x14ac:dyDescent="0.3">
      <c r="B490" s="46"/>
    </row>
    <row r="491" spans="2:2" ht="19.5" customHeight="1" x14ac:dyDescent="0.3">
      <c r="B491" s="46"/>
    </row>
    <row r="492" spans="2:2" ht="19.5" customHeight="1" x14ac:dyDescent="0.3">
      <c r="B492" s="46"/>
    </row>
    <row r="493" spans="2:2" ht="19.5" customHeight="1" x14ac:dyDescent="0.3">
      <c r="B493" s="46"/>
    </row>
    <row r="494" spans="2:2" ht="19.5" customHeight="1" x14ac:dyDescent="0.3">
      <c r="B494" s="46"/>
    </row>
    <row r="495" spans="2:2" ht="19.5" customHeight="1" x14ac:dyDescent="0.3">
      <c r="B495" s="46"/>
    </row>
    <row r="496" spans="2:2" ht="19.5" customHeight="1" x14ac:dyDescent="0.3">
      <c r="B496" s="46"/>
    </row>
    <row r="497" spans="2:2" ht="19.5" customHeight="1" x14ac:dyDescent="0.3">
      <c r="B497" s="46"/>
    </row>
    <row r="498" spans="2:2" ht="19.5" customHeight="1" x14ac:dyDescent="0.3">
      <c r="B498" s="46"/>
    </row>
    <row r="499" spans="2:2" ht="19.5" customHeight="1" x14ac:dyDescent="0.3">
      <c r="B499" s="46"/>
    </row>
    <row r="500" spans="2:2" ht="19.5" customHeight="1" x14ac:dyDescent="0.3">
      <c r="B500" s="46"/>
    </row>
    <row r="501" spans="2:2" ht="19.5" customHeight="1" x14ac:dyDescent="0.3">
      <c r="B501" s="46"/>
    </row>
    <row r="502" spans="2:2" ht="19.5" customHeight="1" x14ac:dyDescent="0.3">
      <c r="B502" s="46"/>
    </row>
    <row r="503" spans="2:2" ht="19.5" customHeight="1" x14ac:dyDescent="0.3">
      <c r="B503" s="46"/>
    </row>
    <row r="504" spans="2:2" ht="19.5" customHeight="1" x14ac:dyDescent="0.3">
      <c r="B504" s="46"/>
    </row>
    <row r="505" spans="2:2" ht="19.5" customHeight="1" x14ac:dyDescent="0.3">
      <c r="B505" s="46"/>
    </row>
    <row r="506" spans="2:2" ht="19.5" customHeight="1" x14ac:dyDescent="0.3">
      <c r="B506" s="46"/>
    </row>
    <row r="507" spans="2:2" ht="19.5" customHeight="1" x14ac:dyDescent="0.3">
      <c r="B507" s="46"/>
    </row>
    <row r="508" spans="2:2" ht="19.5" customHeight="1" x14ac:dyDescent="0.3">
      <c r="B508" s="46"/>
    </row>
    <row r="509" spans="2:2" ht="19.5" customHeight="1" x14ac:dyDescent="0.3">
      <c r="B509" s="46"/>
    </row>
    <row r="510" spans="2:2" ht="19.5" customHeight="1" x14ac:dyDescent="0.3">
      <c r="B510" s="46"/>
    </row>
    <row r="511" spans="2:2" ht="19.5" customHeight="1" x14ac:dyDescent="0.3">
      <c r="B511" s="46"/>
    </row>
    <row r="512" spans="2:2" ht="19.5" customHeight="1" x14ac:dyDescent="0.3">
      <c r="B512" s="46"/>
    </row>
    <row r="513" spans="2:2" ht="19.5" customHeight="1" x14ac:dyDescent="0.3">
      <c r="B513" s="46"/>
    </row>
    <row r="514" spans="2:2" ht="19.5" customHeight="1" x14ac:dyDescent="0.3">
      <c r="B514" s="46"/>
    </row>
    <row r="515" spans="2:2" ht="19.5" customHeight="1" x14ac:dyDescent="0.3">
      <c r="B515" s="46"/>
    </row>
    <row r="516" spans="2:2" ht="19.5" customHeight="1" x14ac:dyDescent="0.3">
      <c r="B516" s="46"/>
    </row>
    <row r="517" spans="2:2" ht="19.5" customHeight="1" x14ac:dyDescent="0.3">
      <c r="B517" s="46"/>
    </row>
    <row r="518" spans="2:2" ht="19.5" customHeight="1" x14ac:dyDescent="0.3">
      <c r="B518" s="46"/>
    </row>
    <row r="519" spans="2:2" ht="19.5" customHeight="1" x14ac:dyDescent="0.3">
      <c r="B519" s="46"/>
    </row>
    <row r="520" spans="2:2" ht="19.5" customHeight="1" x14ac:dyDescent="0.3">
      <c r="B520" s="46"/>
    </row>
    <row r="521" spans="2:2" ht="19.5" customHeight="1" x14ac:dyDescent="0.3">
      <c r="B521" s="46"/>
    </row>
    <row r="522" spans="2:2" ht="19.5" customHeight="1" x14ac:dyDescent="0.3">
      <c r="B522" s="46"/>
    </row>
    <row r="523" spans="2:2" ht="19.5" customHeight="1" x14ac:dyDescent="0.3">
      <c r="B523" s="46"/>
    </row>
    <row r="524" spans="2:2" ht="19.5" customHeight="1" x14ac:dyDescent="0.3">
      <c r="B524" s="46"/>
    </row>
    <row r="525" spans="2:2" ht="19.5" customHeight="1" x14ac:dyDescent="0.3">
      <c r="B525" s="46"/>
    </row>
    <row r="526" spans="2:2" ht="19.5" customHeight="1" x14ac:dyDescent="0.3">
      <c r="B526" s="46"/>
    </row>
    <row r="527" spans="2:2" ht="19.5" customHeight="1" x14ac:dyDescent="0.3">
      <c r="B527" s="46"/>
    </row>
    <row r="528" spans="2:2" ht="19.5" customHeight="1" x14ac:dyDescent="0.3">
      <c r="B528" s="46"/>
    </row>
    <row r="529" spans="2:2" ht="19.5" customHeight="1" x14ac:dyDescent="0.3">
      <c r="B529" s="46"/>
    </row>
    <row r="530" spans="2:2" ht="19.5" customHeight="1" x14ac:dyDescent="0.3">
      <c r="B530" s="46"/>
    </row>
    <row r="531" spans="2:2" ht="19.5" customHeight="1" x14ac:dyDescent="0.3">
      <c r="B531" s="46"/>
    </row>
    <row r="532" spans="2:2" ht="19.5" customHeight="1" x14ac:dyDescent="0.3">
      <c r="B532" s="46"/>
    </row>
    <row r="533" spans="2:2" ht="19.5" customHeight="1" x14ac:dyDescent="0.3">
      <c r="B533" s="46"/>
    </row>
    <row r="534" spans="2:2" ht="19.5" customHeight="1" x14ac:dyDescent="0.3">
      <c r="B534" s="46"/>
    </row>
    <row r="535" spans="2:2" ht="19.5" customHeight="1" x14ac:dyDescent="0.3">
      <c r="B535" s="46"/>
    </row>
    <row r="536" spans="2:2" ht="19.5" customHeight="1" x14ac:dyDescent="0.3">
      <c r="B536" s="46"/>
    </row>
    <row r="537" spans="2:2" ht="19.5" customHeight="1" x14ac:dyDescent="0.3">
      <c r="B537" s="46"/>
    </row>
    <row r="538" spans="2:2" ht="19.5" customHeight="1" x14ac:dyDescent="0.3">
      <c r="B538" s="46"/>
    </row>
    <row r="539" spans="2:2" ht="19.5" customHeight="1" x14ac:dyDescent="0.3">
      <c r="B539" s="46"/>
    </row>
    <row r="540" spans="2:2" ht="19.5" customHeight="1" x14ac:dyDescent="0.3">
      <c r="B540" s="46"/>
    </row>
    <row r="541" spans="2:2" ht="19.5" customHeight="1" x14ac:dyDescent="0.3">
      <c r="B541" s="46"/>
    </row>
    <row r="542" spans="2:2" ht="19.5" customHeight="1" x14ac:dyDescent="0.3">
      <c r="B542" s="46"/>
    </row>
    <row r="543" spans="2:2" ht="19.5" customHeight="1" x14ac:dyDescent="0.3">
      <c r="B543" s="46"/>
    </row>
    <row r="544" spans="2:2" ht="19.5" customHeight="1" x14ac:dyDescent="0.3">
      <c r="B544" s="46"/>
    </row>
    <row r="545" spans="2:2" ht="19.5" customHeight="1" x14ac:dyDescent="0.3">
      <c r="B545" s="46"/>
    </row>
    <row r="546" spans="2:2" ht="19.5" customHeight="1" x14ac:dyDescent="0.3">
      <c r="B546" s="46"/>
    </row>
    <row r="547" spans="2:2" ht="19.5" customHeight="1" x14ac:dyDescent="0.3">
      <c r="B547" s="46"/>
    </row>
    <row r="548" spans="2:2" ht="19.5" customHeight="1" x14ac:dyDescent="0.3">
      <c r="B548" s="46"/>
    </row>
    <row r="549" spans="2:2" ht="19.5" customHeight="1" x14ac:dyDescent="0.3">
      <c r="B549" s="46"/>
    </row>
    <row r="550" spans="2:2" ht="19.5" customHeight="1" x14ac:dyDescent="0.3">
      <c r="B550" s="46"/>
    </row>
    <row r="551" spans="2:2" ht="19.5" customHeight="1" x14ac:dyDescent="0.3">
      <c r="B551" s="46"/>
    </row>
    <row r="552" spans="2:2" ht="19.5" customHeight="1" x14ac:dyDescent="0.3">
      <c r="B552" s="46"/>
    </row>
    <row r="553" spans="2:2" ht="19.5" customHeight="1" x14ac:dyDescent="0.3">
      <c r="B553" s="46"/>
    </row>
    <row r="554" spans="2:2" ht="19.5" customHeight="1" x14ac:dyDescent="0.3">
      <c r="B554" s="46"/>
    </row>
    <row r="555" spans="2:2" ht="19.5" customHeight="1" x14ac:dyDescent="0.3">
      <c r="B555" s="46"/>
    </row>
    <row r="556" spans="2:2" ht="19.5" customHeight="1" x14ac:dyDescent="0.3">
      <c r="B556" s="46"/>
    </row>
    <row r="557" spans="2:2" ht="19.5" customHeight="1" x14ac:dyDescent="0.3">
      <c r="B557" s="46"/>
    </row>
    <row r="558" spans="2:2" ht="19.5" customHeight="1" x14ac:dyDescent="0.3">
      <c r="B558" s="46"/>
    </row>
    <row r="559" spans="2:2" ht="19.5" customHeight="1" x14ac:dyDescent="0.3">
      <c r="B559" s="46"/>
    </row>
    <row r="560" spans="2:2" ht="19.5" customHeight="1" x14ac:dyDescent="0.3">
      <c r="B560" s="46"/>
    </row>
    <row r="561" spans="2:2" ht="19.5" customHeight="1" x14ac:dyDescent="0.3">
      <c r="B561" s="46"/>
    </row>
    <row r="562" spans="2:2" ht="19.5" customHeight="1" x14ac:dyDescent="0.3">
      <c r="B562" s="46"/>
    </row>
    <row r="563" spans="2:2" ht="19.5" customHeight="1" x14ac:dyDescent="0.3">
      <c r="B563" s="46"/>
    </row>
    <row r="564" spans="2:2" ht="19.5" customHeight="1" x14ac:dyDescent="0.3">
      <c r="B564" s="46"/>
    </row>
    <row r="565" spans="2:2" ht="19.5" customHeight="1" x14ac:dyDescent="0.3">
      <c r="B565" s="46"/>
    </row>
    <row r="566" spans="2:2" ht="19.5" customHeight="1" x14ac:dyDescent="0.3">
      <c r="B566" s="46"/>
    </row>
    <row r="567" spans="2:2" ht="19.5" customHeight="1" x14ac:dyDescent="0.3">
      <c r="B567" s="46"/>
    </row>
    <row r="568" spans="2:2" ht="19.5" customHeight="1" x14ac:dyDescent="0.3">
      <c r="B568" s="46"/>
    </row>
    <row r="569" spans="2:2" ht="19.5" customHeight="1" x14ac:dyDescent="0.3">
      <c r="B569" s="46"/>
    </row>
    <row r="570" spans="2:2" ht="19.5" customHeight="1" x14ac:dyDescent="0.3">
      <c r="B570" s="46"/>
    </row>
    <row r="571" spans="2:2" ht="19.5" customHeight="1" x14ac:dyDescent="0.3">
      <c r="B571" s="46"/>
    </row>
    <row r="572" spans="2:2" ht="19.5" customHeight="1" x14ac:dyDescent="0.3">
      <c r="B572" s="46"/>
    </row>
    <row r="573" spans="2:2" ht="19.5" customHeight="1" x14ac:dyDescent="0.3">
      <c r="B573" s="46"/>
    </row>
    <row r="574" spans="2:2" ht="19.5" customHeight="1" x14ac:dyDescent="0.3">
      <c r="B574" s="46"/>
    </row>
    <row r="575" spans="2:2" ht="19.5" customHeight="1" x14ac:dyDescent="0.3">
      <c r="B575" s="46"/>
    </row>
    <row r="576" spans="2:2" ht="19.5" customHeight="1" x14ac:dyDescent="0.3">
      <c r="B576" s="46"/>
    </row>
    <row r="577" spans="2:2" ht="19.5" customHeight="1" x14ac:dyDescent="0.3">
      <c r="B577" s="46"/>
    </row>
    <row r="578" spans="2:2" ht="19.5" customHeight="1" x14ac:dyDescent="0.3">
      <c r="B578" s="46"/>
    </row>
    <row r="579" spans="2:2" ht="19.5" customHeight="1" x14ac:dyDescent="0.3">
      <c r="B579" s="46"/>
    </row>
    <row r="580" spans="2:2" ht="19.5" customHeight="1" x14ac:dyDescent="0.3">
      <c r="B580" s="46"/>
    </row>
    <row r="581" spans="2:2" ht="19.5" customHeight="1" x14ac:dyDescent="0.3">
      <c r="B581" s="46"/>
    </row>
    <row r="582" spans="2:2" ht="19.5" customHeight="1" x14ac:dyDescent="0.3">
      <c r="B582" s="46"/>
    </row>
    <row r="583" spans="2:2" ht="19.5" customHeight="1" x14ac:dyDescent="0.3">
      <c r="B583" s="46"/>
    </row>
    <row r="584" spans="2:2" ht="19.5" customHeight="1" x14ac:dyDescent="0.3">
      <c r="B584" s="46"/>
    </row>
    <row r="585" spans="2:2" ht="19.5" customHeight="1" x14ac:dyDescent="0.3">
      <c r="B585" s="46"/>
    </row>
    <row r="586" spans="2:2" ht="19.5" customHeight="1" x14ac:dyDescent="0.3">
      <c r="B586" s="46"/>
    </row>
    <row r="587" spans="2:2" ht="19.5" customHeight="1" x14ac:dyDescent="0.3">
      <c r="B587" s="46"/>
    </row>
    <row r="588" spans="2:2" ht="19.5" customHeight="1" x14ac:dyDescent="0.3">
      <c r="B588" s="46"/>
    </row>
    <row r="589" spans="2:2" ht="19.5" customHeight="1" x14ac:dyDescent="0.3">
      <c r="B589" s="46"/>
    </row>
    <row r="590" spans="2:2" ht="19.5" customHeight="1" x14ac:dyDescent="0.3">
      <c r="B590" s="46"/>
    </row>
    <row r="591" spans="2:2" ht="19.5" customHeight="1" x14ac:dyDescent="0.3">
      <c r="B591" s="46"/>
    </row>
    <row r="592" spans="2:2" ht="19.5" customHeight="1" x14ac:dyDescent="0.3">
      <c r="B592" s="46"/>
    </row>
    <row r="593" spans="2:2" ht="19.5" customHeight="1" x14ac:dyDescent="0.3">
      <c r="B593" s="46"/>
    </row>
    <row r="594" spans="2:2" ht="19.5" customHeight="1" x14ac:dyDescent="0.3">
      <c r="B594" s="46"/>
    </row>
    <row r="595" spans="2:2" ht="19.5" customHeight="1" x14ac:dyDescent="0.3">
      <c r="B595" s="46"/>
    </row>
    <row r="596" spans="2:2" ht="19.5" customHeight="1" x14ac:dyDescent="0.3">
      <c r="B596" s="46"/>
    </row>
    <row r="597" spans="2:2" ht="19.5" customHeight="1" x14ac:dyDescent="0.3">
      <c r="B597" s="46"/>
    </row>
    <row r="598" spans="2:2" ht="19.5" customHeight="1" x14ac:dyDescent="0.3">
      <c r="B598" s="46"/>
    </row>
    <row r="599" spans="2:2" ht="19.5" customHeight="1" x14ac:dyDescent="0.3">
      <c r="B599" s="46"/>
    </row>
    <row r="600" spans="2:2" ht="19.5" customHeight="1" x14ac:dyDescent="0.3">
      <c r="B600" s="46"/>
    </row>
    <row r="601" spans="2:2" ht="19.5" customHeight="1" x14ac:dyDescent="0.3">
      <c r="B601" s="46"/>
    </row>
    <row r="602" spans="2:2" ht="19.5" customHeight="1" x14ac:dyDescent="0.3">
      <c r="B602" s="46"/>
    </row>
    <row r="603" spans="2:2" ht="19.5" customHeight="1" x14ac:dyDescent="0.3">
      <c r="B603" s="46"/>
    </row>
    <row r="604" spans="2:2" ht="19.5" customHeight="1" x14ac:dyDescent="0.3">
      <c r="B604" s="46"/>
    </row>
    <row r="605" spans="2:2" ht="19.5" customHeight="1" x14ac:dyDescent="0.3">
      <c r="B605" s="46"/>
    </row>
    <row r="606" spans="2:2" ht="19.5" customHeight="1" x14ac:dyDescent="0.3">
      <c r="B606" s="46"/>
    </row>
    <row r="607" spans="2:2" ht="19.5" customHeight="1" x14ac:dyDescent="0.3">
      <c r="B607" s="46"/>
    </row>
    <row r="608" spans="2:2" ht="19.5" customHeight="1" x14ac:dyDescent="0.3">
      <c r="B608" s="46"/>
    </row>
    <row r="609" spans="2:2" ht="19.5" customHeight="1" x14ac:dyDescent="0.3">
      <c r="B609" s="46"/>
    </row>
    <row r="610" spans="2:2" ht="19.5" customHeight="1" x14ac:dyDescent="0.3">
      <c r="B610" s="46"/>
    </row>
    <row r="611" spans="2:2" ht="19.5" customHeight="1" x14ac:dyDescent="0.3">
      <c r="B611" s="46"/>
    </row>
    <row r="612" spans="2:2" ht="19.5" customHeight="1" x14ac:dyDescent="0.3">
      <c r="B612" s="46"/>
    </row>
    <row r="613" spans="2:2" ht="19.5" customHeight="1" x14ac:dyDescent="0.3">
      <c r="B613" s="46"/>
    </row>
    <row r="614" spans="2:2" ht="19.5" customHeight="1" x14ac:dyDescent="0.3">
      <c r="B614" s="46"/>
    </row>
    <row r="615" spans="2:2" ht="19.5" customHeight="1" x14ac:dyDescent="0.3">
      <c r="B615" s="46"/>
    </row>
    <row r="616" spans="2:2" ht="19.5" customHeight="1" x14ac:dyDescent="0.3">
      <c r="B616" s="46"/>
    </row>
    <row r="617" spans="2:2" ht="19.5" customHeight="1" x14ac:dyDescent="0.3">
      <c r="B617" s="46"/>
    </row>
    <row r="618" spans="2:2" ht="19.5" customHeight="1" x14ac:dyDescent="0.3">
      <c r="B618" s="46"/>
    </row>
    <row r="619" spans="2:2" ht="19.5" customHeight="1" x14ac:dyDescent="0.3">
      <c r="B619" s="46"/>
    </row>
    <row r="620" spans="2:2" ht="19.5" customHeight="1" x14ac:dyDescent="0.3">
      <c r="B620" s="46"/>
    </row>
    <row r="621" spans="2:2" ht="19.5" customHeight="1" x14ac:dyDescent="0.3">
      <c r="B621" s="46"/>
    </row>
    <row r="622" spans="2:2" ht="19.5" customHeight="1" x14ac:dyDescent="0.3">
      <c r="B622" s="46"/>
    </row>
    <row r="623" spans="2:2" ht="19.5" customHeight="1" x14ac:dyDescent="0.3">
      <c r="B623" s="46"/>
    </row>
    <row r="624" spans="2:2" ht="19.5" customHeight="1" x14ac:dyDescent="0.3">
      <c r="B624" s="46"/>
    </row>
    <row r="625" spans="2:2" ht="19.5" customHeight="1" x14ac:dyDescent="0.3">
      <c r="B625" s="46"/>
    </row>
    <row r="626" spans="2:2" ht="19.5" customHeight="1" x14ac:dyDescent="0.3">
      <c r="B626" s="46"/>
    </row>
    <row r="627" spans="2:2" ht="19.5" customHeight="1" x14ac:dyDescent="0.3">
      <c r="B627" s="46"/>
    </row>
    <row r="628" spans="2:2" ht="19.5" customHeight="1" x14ac:dyDescent="0.3">
      <c r="B628" s="46"/>
    </row>
    <row r="629" spans="2:2" ht="19.5" customHeight="1" x14ac:dyDescent="0.3">
      <c r="B629" s="46"/>
    </row>
    <row r="630" spans="2:2" ht="19.5" customHeight="1" x14ac:dyDescent="0.3">
      <c r="B630" s="46"/>
    </row>
    <row r="631" spans="2:2" ht="19.5" customHeight="1" x14ac:dyDescent="0.3">
      <c r="B631" s="46"/>
    </row>
    <row r="632" spans="2:2" ht="19.5" customHeight="1" x14ac:dyDescent="0.3">
      <c r="B632" s="46"/>
    </row>
    <row r="633" spans="2:2" ht="19.5" customHeight="1" x14ac:dyDescent="0.3">
      <c r="B633" s="46"/>
    </row>
    <row r="634" spans="2:2" ht="19.5" customHeight="1" x14ac:dyDescent="0.3">
      <c r="B634" s="46"/>
    </row>
    <row r="635" spans="2:2" ht="19.5" customHeight="1" x14ac:dyDescent="0.3">
      <c r="B635" s="46"/>
    </row>
    <row r="636" spans="2:2" ht="19.5" customHeight="1" x14ac:dyDescent="0.3">
      <c r="B636" s="46"/>
    </row>
    <row r="637" spans="2:2" ht="19.5" customHeight="1" x14ac:dyDescent="0.3">
      <c r="B637" s="46"/>
    </row>
    <row r="638" spans="2:2" ht="19.5" customHeight="1" x14ac:dyDescent="0.3">
      <c r="B638" s="46"/>
    </row>
    <row r="639" spans="2:2" ht="19.5" customHeight="1" x14ac:dyDescent="0.3">
      <c r="B639" s="46"/>
    </row>
    <row r="640" spans="2:2" ht="19.5" customHeight="1" x14ac:dyDescent="0.3">
      <c r="B640" s="46"/>
    </row>
    <row r="641" spans="2:2" ht="19.5" customHeight="1" x14ac:dyDescent="0.3">
      <c r="B641" s="46"/>
    </row>
    <row r="642" spans="2:2" ht="19.5" customHeight="1" x14ac:dyDescent="0.3">
      <c r="B642" s="46"/>
    </row>
    <row r="643" spans="2:2" ht="19.5" customHeight="1" x14ac:dyDescent="0.3">
      <c r="B643" s="46"/>
    </row>
    <row r="644" spans="2:2" ht="19.5" customHeight="1" x14ac:dyDescent="0.3">
      <c r="B644" s="46"/>
    </row>
    <row r="645" spans="2:2" ht="19.5" customHeight="1" x14ac:dyDescent="0.3">
      <c r="B645" s="46"/>
    </row>
    <row r="646" spans="2:2" ht="19.5" customHeight="1" x14ac:dyDescent="0.3">
      <c r="B646" s="46"/>
    </row>
    <row r="647" spans="2:2" ht="19.5" customHeight="1" x14ac:dyDescent="0.3">
      <c r="B647" s="46"/>
    </row>
    <row r="648" spans="2:2" ht="19.5" customHeight="1" x14ac:dyDescent="0.3">
      <c r="B648" s="46"/>
    </row>
    <row r="649" spans="2:2" ht="19.5" customHeight="1" x14ac:dyDescent="0.3">
      <c r="B649" s="46"/>
    </row>
    <row r="650" spans="2:2" ht="19.5" customHeight="1" x14ac:dyDescent="0.3">
      <c r="B650" s="46"/>
    </row>
    <row r="651" spans="2:2" ht="19.5" customHeight="1" x14ac:dyDescent="0.3">
      <c r="B651" s="46"/>
    </row>
    <row r="652" spans="2:2" ht="19.5" customHeight="1" x14ac:dyDescent="0.3">
      <c r="B652" s="46"/>
    </row>
    <row r="653" spans="2:2" ht="19.5" customHeight="1" x14ac:dyDescent="0.3">
      <c r="B653" s="46"/>
    </row>
    <row r="654" spans="2:2" ht="19.5" customHeight="1" x14ac:dyDescent="0.3">
      <c r="B654" s="46"/>
    </row>
    <row r="655" spans="2:2" ht="19.5" customHeight="1" x14ac:dyDescent="0.3">
      <c r="B655" s="46"/>
    </row>
    <row r="656" spans="2:2" ht="19.5" customHeight="1" x14ac:dyDescent="0.3">
      <c r="B656" s="46"/>
    </row>
    <row r="657" spans="2:2" ht="19.5" customHeight="1" x14ac:dyDescent="0.3">
      <c r="B657" s="46"/>
    </row>
    <row r="658" spans="2:2" ht="19.5" customHeight="1" x14ac:dyDescent="0.3">
      <c r="B658" s="46"/>
    </row>
    <row r="659" spans="2:2" ht="19.5" customHeight="1" x14ac:dyDescent="0.3">
      <c r="B659" s="46"/>
    </row>
    <row r="660" spans="2:2" ht="19.5" customHeight="1" x14ac:dyDescent="0.3">
      <c r="B660" s="46"/>
    </row>
    <row r="661" spans="2:2" ht="19.5" customHeight="1" x14ac:dyDescent="0.3">
      <c r="B661" s="46"/>
    </row>
    <row r="662" spans="2:2" ht="19.5" customHeight="1" x14ac:dyDescent="0.3">
      <c r="B662" s="46"/>
    </row>
    <row r="663" spans="2:2" ht="19.5" customHeight="1" x14ac:dyDescent="0.3">
      <c r="B663" s="46"/>
    </row>
    <row r="664" spans="2:2" ht="19.5" customHeight="1" x14ac:dyDescent="0.3">
      <c r="B664" s="46"/>
    </row>
    <row r="665" spans="2:2" ht="19.5" customHeight="1" x14ac:dyDescent="0.3">
      <c r="B665" s="46"/>
    </row>
    <row r="666" spans="2:2" ht="19.5" customHeight="1" x14ac:dyDescent="0.3">
      <c r="B666" s="46"/>
    </row>
    <row r="667" spans="2:2" ht="19.5" customHeight="1" x14ac:dyDescent="0.3">
      <c r="B667" s="46"/>
    </row>
    <row r="668" spans="2:2" ht="19.5" customHeight="1" x14ac:dyDescent="0.3">
      <c r="B668" s="46"/>
    </row>
    <row r="669" spans="2:2" ht="19.5" customHeight="1" x14ac:dyDescent="0.3">
      <c r="B669" s="46"/>
    </row>
    <row r="670" spans="2:2" ht="19.5" customHeight="1" x14ac:dyDescent="0.3">
      <c r="B670" s="46"/>
    </row>
    <row r="671" spans="2:2" ht="19.5" customHeight="1" x14ac:dyDescent="0.3">
      <c r="B671" s="46"/>
    </row>
    <row r="672" spans="2:2" ht="19.5" customHeight="1" x14ac:dyDescent="0.3">
      <c r="B672" s="46"/>
    </row>
    <row r="673" spans="2:2" ht="19.5" customHeight="1" x14ac:dyDescent="0.3">
      <c r="B673" s="46"/>
    </row>
    <row r="674" spans="2:2" ht="19.5" customHeight="1" x14ac:dyDescent="0.3">
      <c r="B674" s="46"/>
    </row>
    <row r="675" spans="2:2" ht="19.5" customHeight="1" x14ac:dyDescent="0.3">
      <c r="B675" s="46"/>
    </row>
    <row r="676" spans="2:2" ht="19.5" customHeight="1" x14ac:dyDescent="0.3">
      <c r="B676" s="46"/>
    </row>
    <row r="677" spans="2:2" ht="19.5" customHeight="1" x14ac:dyDescent="0.3">
      <c r="B677" s="46"/>
    </row>
    <row r="678" spans="2:2" ht="19.5" customHeight="1" x14ac:dyDescent="0.3">
      <c r="B678" s="46"/>
    </row>
    <row r="679" spans="2:2" ht="19.5" customHeight="1" x14ac:dyDescent="0.3">
      <c r="B679" s="46"/>
    </row>
    <row r="680" spans="2:2" ht="19.5" customHeight="1" x14ac:dyDescent="0.3">
      <c r="B680" s="46"/>
    </row>
    <row r="681" spans="2:2" ht="19.5" customHeight="1" x14ac:dyDescent="0.3">
      <c r="B681" s="46"/>
    </row>
    <row r="682" spans="2:2" ht="19.5" customHeight="1" x14ac:dyDescent="0.3">
      <c r="B682" s="46"/>
    </row>
    <row r="683" spans="2:2" ht="19.5" customHeight="1" x14ac:dyDescent="0.3">
      <c r="B683" s="46"/>
    </row>
    <row r="684" spans="2:2" ht="19.5" customHeight="1" x14ac:dyDescent="0.3">
      <c r="B684" s="46"/>
    </row>
    <row r="685" spans="2:2" ht="19.5" customHeight="1" x14ac:dyDescent="0.3">
      <c r="B685" s="46"/>
    </row>
    <row r="686" spans="2:2" ht="19.5" customHeight="1" x14ac:dyDescent="0.3">
      <c r="B686" s="46"/>
    </row>
    <row r="687" spans="2:2" ht="19.5" customHeight="1" x14ac:dyDescent="0.3">
      <c r="B687" s="46"/>
    </row>
    <row r="688" spans="2:2" ht="19.5" customHeight="1" x14ac:dyDescent="0.3">
      <c r="B688" s="46"/>
    </row>
    <row r="689" spans="2:2" ht="19.5" customHeight="1" x14ac:dyDescent="0.3">
      <c r="B689" s="46"/>
    </row>
    <row r="690" spans="2:2" ht="19.5" customHeight="1" x14ac:dyDescent="0.3">
      <c r="B690" s="46"/>
    </row>
    <row r="691" spans="2:2" ht="19.5" customHeight="1" x14ac:dyDescent="0.3">
      <c r="B691" s="46"/>
    </row>
    <row r="692" spans="2:2" ht="19.5" customHeight="1" x14ac:dyDescent="0.3">
      <c r="B692" s="46"/>
    </row>
    <row r="693" spans="2:2" ht="19.5" customHeight="1" x14ac:dyDescent="0.3">
      <c r="B693" s="46"/>
    </row>
    <row r="694" spans="2:2" ht="19.5" customHeight="1" x14ac:dyDescent="0.3">
      <c r="B694" s="46"/>
    </row>
    <row r="695" spans="2:2" ht="19.5" customHeight="1" x14ac:dyDescent="0.3">
      <c r="B695" s="46"/>
    </row>
    <row r="696" spans="2:2" ht="19.5" customHeight="1" x14ac:dyDescent="0.3">
      <c r="B696" s="46"/>
    </row>
    <row r="697" spans="2:2" ht="19.5" customHeight="1" x14ac:dyDescent="0.3">
      <c r="B697" s="46"/>
    </row>
    <row r="698" spans="2:2" ht="19.5" customHeight="1" x14ac:dyDescent="0.3">
      <c r="B698" s="46"/>
    </row>
    <row r="699" spans="2:2" ht="19.5" customHeight="1" x14ac:dyDescent="0.3">
      <c r="B699" s="46"/>
    </row>
    <row r="700" spans="2:2" ht="19.5" customHeight="1" x14ac:dyDescent="0.3">
      <c r="B700" s="46"/>
    </row>
    <row r="701" spans="2:2" ht="19.5" customHeight="1" x14ac:dyDescent="0.3">
      <c r="B701" s="46"/>
    </row>
    <row r="702" spans="2:2" ht="19.5" customHeight="1" x14ac:dyDescent="0.3">
      <c r="B702" s="46"/>
    </row>
    <row r="703" spans="2:2" ht="19.5" customHeight="1" x14ac:dyDescent="0.3">
      <c r="B703" s="46"/>
    </row>
    <row r="704" spans="2:2" ht="19.5" customHeight="1" x14ac:dyDescent="0.3">
      <c r="B704" s="46"/>
    </row>
    <row r="705" spans="2:2" ht="19.5" customHeight="1" x14ac:dyDescent="0.3">
      <c r="B705" s="46"/>
    </row>
    <row r="706" spans="2:2" ht="19.5" customHeight="1" x14ac:dyDescent="0.3">
      <c r="B706" s="46"/>
    </row>
    <row r="707" spans="2:2" ht="19.5" customHeight="1" x14ac:dyDescent="0.3">
      <c r="B707" s="46"/>
    </row>
    <row r="708" spans="2:2" ht="19.5" customHeight="1" x14ac:dyDescent="0.3">
      <c r="B708" s="46"/>
    </row>
    <row r="709" spans="2:2" ht="19.5" customHeight="1" x14ac:dyDescent="0.3">
      <c r="B709" s="46"/>
    </row>
    <row r="710" spans="2:2" ht="19.5" customHeight="1" x14ac:dyDescent="0.3">
      <c r="B710" s="46"/>
    </row>
    <row r="711" spans="2:2" ht="19.5" customHeight="1" x14ac:dyDescent="0.3">
      <c r="B711" s="46"/>
    </row>
    <row r="712" spans="2:2" ht="19.5" customHeight="1" x14ac:dyDescent="0.3">
      <c r="B712" s="46"/>
    </row>
    <row r="713" spans="2:2" ht="19.5" customHeight="1" x14ac:dyDescent="0.3">
      <c r="B713" s="46"/>
    </row>
    <row r="714" spans="2:2" ht="19.5" customHeight="1" x14ac:dyDescent="0.3">
      <c r="B714" s="46"/>
    </row>
    <row r="715" spans="2:2" ht="19.5" customHeight="1" x14ac:dyDescent="0.3">
      <c r="B715" s="46"/>
    </row>
    <row r="716" spans="2:2" ht="19.5" customHeight="1" x14ac:dyDescent="0.3">
      <c r="B716" s="46"/>
    </row>
    <row r="717" spans="2:2" ht="19.5" customHeight="1" x14ac:dyDescent="0.3">
      <c r="B717" s="46"/>
    </row>
    <row r="718" spans="2:2" ht="19.5" customHeight="1" x14ac:dyDescent="0.3">
      <c r="B718" s="46"/>
    </row>
    <row r="719" spans="2:2" ht="19.5" customHeight="1" x14ac:dyDescent="0.3">
      <c r="B719" s="46"/>
    </row>
    <row r="720" spans="2:2" ht="19.5" customHeight="1" x14ac:dyDescent="0.3">
      <c r="B720" s="46"/>
    </row>
    <row r="721" spans="2:2" ht="19.5" customHeight="1" x14ac:dyDescent="0.3">
      <c r="B721" s="46"/>
    </row>
    <row r="722" spans="2:2" ht="19.5" customHeight="1" x14ac:dyDescent="0.3">
      <c r="B722" s="46"/>
    </row>
    <row r="723" spans="2:2" ht="19.5" customHeight="1" x14ac:dyDescent="0.3">
      <c r="B723" s="46"/>
    </row>
    <row r="724" spans="2:2" ht="19.5" customHeight="1" x14ac:dyDescent="0.3">
      <c r="B724" s="46"/>
    </row>
    <row r="725" spans="2:2" ht="19.5" customHeight="1" x14ac:dyDescent="0.3">
      <c r="B725" s="46"/>
    </row>
    <row r="726" spans="2:2" ht="19.5" customHeight="1" x14ac:dyDescent="0.3">
      <c r="B726" s="46"/>
    </row>
    <row r="727" spans="2:2" ht="19.5" customHeight="1" x14ac:dyDescent="0.3">
      <c r="B727" s="46"/>
    </row>
    <row r="728" spans="2:2" ht="19.5" customHeight="1" x14ac:dyDescent="0.3">
      <c r="B728" s="46"/>
    </row>
    <row r="729" spans="2:2" ht="19.5" customHeight="1" x14ac:dyDescent="0.3">
      <c r="B729" s="46"/>
    </row>
    <row r="730" spans="2:2" ht="19.5" customHeight="1" x14ac:dyDescent="0.3">
      <c r="B730" s="46"/>
    </row>
    <row r="731" spans="2:2" ht="19.5" customHeight="1" x14ac:dyDescent="0.3">
      <c r="B731" s="46"/>
    </row>
    <row r="732" spans="2:2" ht="19.5" customHeight="1" x14ac:dyDescent="0.3">
      <c r="B732" s="46"/>
    </row>
    <row r="733" spans="2:2" ht="19.5" customHeight="1" x14ac:dyDescent="0.3">
      <c r="B733" s="46"/>
    </row>
    <row r="734" spans="2:2" ht="19.5" customHeight="1" x14ac:dyDescent="0.3">
      <c r="B734" s="46"/>
    </row>
    <row r="735" spans="2:2" ht="19.5" customHeight="1" x14ac:dyDescent="0.3">
      <c r="B735" s="46"/>
    </row>
    <row r="736" spans="2:2" ht="19.5" customHeight="1" x14ac:dyDescent="0.3">
      <c r="B736" s="46"/>
    </row>
    <row r="737" spans="2:2" ht="19.5" customHeight="1" x14ac:dyDescent="0.3">
      <c r="B737" s="46"/>
    </row>
    <row r="738" spans="2:2" ht="19.5" customHeight="1" x14ac:dyDescent="0.3">
      <c r="B738" s="46"/>
    </row>
    <row r="739" spans="2:2" ht="19.5" customHeight="1" x14ac:dyDescent="0.3">
      <c r="B739" s="46"/>
    </row>
    <row r="740" spans="2:2" ht="19.5" customHeight="1" x14ac:dyDescent="0.3">
      <c r="B740" s="46"/>
    </row>
    <row r="741" spans="2:2" ht="19.5" customHeight="1" x14ac:dyDescent="0.3">
      <c r="B741" s="46"/>
    </row>
    <row r="742" spans="2:2" ht="19.5" customHeight="1" x14ac:dyDescent="0.3">
      <c r="B742" s="46"/>
    </row>
    <row r="743" spans="2:2" ht="19.5" customHeight="1" x14ac:dyDescent="0.3">
      <c r="B743" s="46"/>
    </row>
    <row r="744" spans="2:2" ht="19.5" customHeight="1" x14ac:dyDescent="0.3">
      <c r="B744" s="46"/>
    </row>
    <row r="745" spans="2:2" ht="19.5" customHeight="1" x14ac:dyDescent="0.3">
      <c r="B745" s="46"/>
    </row>
    <row r="746" spans="2:2" ht="19.5" customHeight="1" x14ac:dyDescent="0.3">
      <c r="B746" s="46"/>
    </row>
    <row r="747" spans="2:2" ht="19.5" customHeight="1" x14ac:dyDescent="0.3">
      <c r="B747" s="46"/>
    </row>
    <row r="748" spans="2:2" ht="19.5" customHeight="1" x14ac:dyDescent="0.3">
      <c r="B748" s="46"/>
    </row>
    <row r="749" spans="2:2" ht="19.5" customHeight="1" x14ac:dyDescent="0.3">
      <c r="B749" s="46"/>
    </row>
    <row r="750" spans="2:2" ht="19.5" customHeight="1" x14ac:dyDescent="0.3">
      <c r="B750" s="46"/>
    </row>
    <row r="751" spans="2:2" ht="19.5" customHeight="1" x14ac:dyDescent="0.3">
      <c r="B751" s="46"/>
    </row>
    <row r="752" spans="2:2" ht="19.5" customHeight="1" x14ac:dyDescent="0.3">
      <c r="B752" s="46"/>
    </row>
    <row r="753" spans="2:2" ht="19.5" customHeight="1" x14ac:dyDescent="0.3">
      <c r="B753" s="46"/>
    </row>
    <row r="754" spans="2:2" ht="19.5" customHeight="1" x14ac:dyDescent="0.3">
      <c r="B754" s="46"/>
    </row>
    <row r="755" spans="2:2" ht="19.5" customHeight="1" x14ac:dyDescent="0.3">
      <c r="B755" s="46"/>
    </row>
  </sheetData>
  <conditionalFormatting sqref="T4:T104">
    <cfRule type="expression" dxfId="0" priority="2">
      <formula>$T4&lt;&gt;$S4</formula>
    </cfRule>
  </conditionalFormatting>
  <pageMargins left="0.40643367185828816" right="0" top="0.50269427835104064" bottom="0.7379979831111021" header="0" footer="0"/>
  <pageSetup paperSize="9" scale="95" orientation="portrait"/>
  <headerFooter>
    <oddHeader>&amp;L &amp;C University of Moratuwa, Sri Lanka Faculty of Engineering   Detailed Mark Sheet&amp;R[CONFIDENTIAL] Exam ID : 218 Common Engineering</oddHeader>
    <oddFooter>&amp;L..................................... Signature of Examiner Date.............................&amp;CSemester 2 ('18 Batch) &amp;P of &amp;R.................................... Signature of Moderator   Date.............................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0D60-1E95-4835-AA8B-A61040278328}">
  <dimension ref="A1:W102"/>
  <sheetViews>
    <sheetView topLeftCell="A79" workbookViewId="0">
      <selection activeCell="A99" sqref="A99:XFD99"/>
    </sheetView>
  </sheetViews>
  <sheetFormatPr defaultRowHeight="14.4" x14ac:dyDescent="0.3"/>
  <cols>
    <col min="1" max="1" width="19.33203125" style="77" customWidth="1"/>
    <col min="2" max="16384" width="8.88671875" style="77"/>
  </cols>
  <sheetData>
    <row r="1" spans="1:23" s="78" customFormat="1" x14ac:dyDescent="0.3">
      <c r="A1" s="74" t="s">
        <v>99</v>
      </c>
      <c r="B1" s="74" t="s">
        <v>73</v>
      </c>
      <c r="C1" s="74" t="s">
        <v>74</v>
      </c>
      <c r="D1" s="74" t="s">
        <v>75</v>
      </c>
      <c r="E1" s="74" t="s">
        <v>76</v>
      </c>
      <c r="F1" s="74" t="s">
        <v>77</v>
      </c>
      <c r="G1" s="74" t="s">
        <v>308</v>
      </c>
      <c r="H1" s="74" t="s">
        <v>309</v>
      </c>
      <c r="I1" s="74" t="s">
        <v>310</v>
      </c>
      <c r="J1" s="74" t="s">
        <v>311</v>
      </c>
      <c r="K1" s="74" t="s">
        <v>312</v>
      </c>
      <c r="L1" s="74" t="s">
        <v>313</v>
      </c>
      <c r="M1" s="74" t="s">
        <v>314</v>
      </c>
      <c r="N1" s="74" t="s">
        <v>315</v>
      </c>
      <c r="O1" s="74" t="s">
        <v>316</v>
      </c>
      <c r="P1" s="74" t="s">
        <v>317</v>
      </c>
      <c r="Q1" s="80" t="s">
        <v>318</v>
      </c>
      <c r="R1" s="80" t="s">
        <v>319</v>
      </c>
      <c r="S1" s="74" t="s">
        <v>98</v>
      </c>
      <c r="T1" s="74" t="s">
        <v>320</v>
      </c>
      <c r="U1" s="80" t="s">
        <v>105</v>
      </c>
      <c r="V1" s="81" t="s">
        <v>78</v>
      </c>
      <c r="W1" s="74" t="s">
        <v>79</v>
      </c>
    </row>
    <row r="2" spans="1:23" x14ac:dyDescent="0.3">
      <c r="A2" s="76" t="s">
        <v>111</v>
      </c>
      <c r="B2" s="76" t="s">
        <v>110</v>
      </c>
      <c r="C2" s="76" t="s">
        <v>321</v>
      </c>
      <c r="D2" s="76" t="s">
        <v>110</v>
      </c>
      <c r="E2" s="76"/>
      <c r="F2" s="76" t="s">
        <v>322</v>
      </c>
      <c r="G2" s="76" t="s">
        <v>80</v>
      </c>
      <c r="H2" s="77">
        <v>10</v>
      </c>
      <c r="I2" s="77">
        <v>9</v>
      </c>
      <c r="J2" s="77">
        <v>1</v>
      </c>
      <c r="K2" s="77">
        <v>10</v>
      </c>
      <c r="L2" s="77">
        <v>9</v>
      </c>
      <c r="M2" s="77">
        <v>9</v>
      </c>
      <c r="N2" s="77">
        <v>10</v>
      </c>
      <c r="O2" s="77">
        <v>9.17</v>
      </c>
      <c r="P2" s="77">
        <v>10</v>
      </c>
      <c r="Q2" s="79">
        <v>9.65</v>
      </c>
      <c r="R2" s="79">
        <v>12</v>
      </c>
      <c r="S2" s="77">
        <v>4.5</v>
      </c>
      <c r="T2" s="77">
        <v>12.63</v>
      </c>
      <c r="U2" s="79">
        <v>17.13</v>
      </c>
      <c r="V2" s="82">
        <v>48.42</v>
      </c>
      <c r="W2" s="76" t="s">
        <v>323</v>
      </c>
    </row>
    <row r="3" spans="1:23" x14ac:dyDescent="0.3">
      <c r="A3" s="76" t="s">
        <v>113</v>
      </c>
      <c r="B3" s="76" t="s">
        <v>112</v>
      </c>
      <c r="C3" s="76" t="s">
        <v>324</v>
      </c>
      <c r="D3" s="76" t="s">
        <v>112</v>
      </c>
      <c r="E3" s="76"/>
      <c r="F3" s="76" t="s">
        <v>325</v>
      </c>
      <c r="G3" s="77">
        <v>9</v>
      </c>
      <c r="H3" s="77">
        <v>10</v>
      </c>
      <c r="I3" s="77">
        <v>10</v>
      </c>
      <c r="J3" s="76" t="s">
        <v>80</v>
      </c>
      <c r="K3" s="77">
        <v>10</v>
      </c>
      <c r="L3" s="77">
        <v>9</v>
      </c>
      <c r="M3" s="77">
        <v>9.5</v>
      </c>
      <c r="N3" s="77">
        <v>9.67</v>
      </c>
      <c r="O3" s="77">
        <v>8</v>
      </c>
      <c r="P3" s="77">
        <v>10</v>
      </c>
      <c r="Q3" s="79">
        <v>9.65</v>
      </c>
      <c r="R3" s="79">
        <v>20</v>
      </c>
      <c r="S3" s="77">
        <v>2</v>
      </c>
      <c r="T3" s="77">
        <v>9.8800000000000008</v>
      </c>
      <c r="U3" s="79">
        <v>11.88</v>
      </c>
      <c r="V3" s="82">
        <v>51.17</v>
      </c>
      <c r="W3" s="76" t="s">
        <v>323</v>
      </c>
    </row>
    <row r="4" spans="1:23" x14ac:dyDescent="0.3">
      <c r="A4" s="76" t="s">
        <v>102</v>
      </c>
      <c r="B4" s="76" t="s">
        <v>101</v>
      </c>
      <c r="C4" s="76" t="s">
        <v>106</v>
      </c>
      <c r="D4" s="76" t="s">
        <v>101</v>
      </c>
      <c r="E4" s="76"/>
      <c r="F4" s="76" t="s">
        <v>107</v>
      </c>
      <c r="G4" s="77">
        <v>10</v>
      </c>
      <c r="H4" s="77">
        <v>10</v>
      </c>
      <c r="I4" s="77">
        <v>10</v>
      </c>
      <c r="J4" s="77">
        <v>0.95</v>
      </c>
      <c r="K4" s="77">
        <v>10</v>
      </c>
      <c r="L4" s="77">
        <v>9</v>
      </c>
      <c r="M4" s="77">
        <v>9</v>
      </c>
      <c r="N4" s="77">
        <v>9.67</v>
      </c>
      <c r="O4" s="77">
        <v>9</v>
      </c>
      <c r="P4" s="77">
        <v>10</v>
      </c>
      <c r="Q4" s="79">
        <v>9.77</v>
      </c>
      <c r="R4" s="79">
        <v>18</v>
      </c>
      <c r="S4" s="77">
        <v>3.33</v>
      </c>
      <c r="T4" s="77">
        <v>10.38</v>
      </c>
      <c r="U4" s="79">
        <v>13.71</v>
      </c>
      <c r="V4" s="82">
        <v>51.25</v>
      </c>
      <c r="W4" s="76" t="s">
        <v>323</v>
      </c>
    </row>
    <row r="5" spans="1:23" x14ac:dyDescent="0.3">
      <c r="A5" s="76" t="s">
        <v>115</v>
      </c>
      <c r="B5" s="76" t="s">
        <v>114</v>
      </c>
      <c r="C5" s="76" t="s">
        <v>326</v>
      </c>
      <c r="D5" s="76" t="s">
        <v>114</v>
      </c>
      <c r="E5" s="76"/>
      <c r="F5" s="76" t="s">
        <v>327</v>
      </c>
      <c r="G5" s="77">
        <v>10</v>
      </c>
      <c r="H5" s="77">
        <v>8.5</v>
      </c>
      <c r="I5" s="77">
        <v>8</v>
      </c>
      <c r="J5" s="77">
        <v>0.89</v>
      </c>
      <c r="K5" s="77">
        <v>8</v>
      </c>
      <c r="L5" s="76" t="s">
        <v>80</v>
      </c>
      <c r="M5" s="77">
        <v>8</v>
      </c>
      <c r="N5" s="76" t="s">
        <v>80</v>
      </c>
      <c r="O5" s="77">
        <v>7.67</v>
      </c>
      <c r="P5" s="77">
        <v>8.7200000000000006</v>
      </c>
      <c r="Q5" s="79">
        <v>8.48</v>
      </c>
      <c r="R5" s="79">
        <v>18</v>
      </c>
      <c r="S5" s="77">
        <v>4.5</v>
      </c>
      <c r="T5" s="77">
        <v>12.63</v>
      </c>
      <c r="U5" s="79">
        <v>17.13</v>
      </c>
      <c r="V5" s="82">
        <v>52.08</v>
      </c>
      <c r="W5" s="76" t="s">
        <v>323</v>
      </c>
    </row>
    <row r="6" spans="1:23" x14ac:dyDescent="0.3">
      <c r="A6" s="76" t="s">
        <v>117</v>
      </c>
      <c r="B6" s="76" t="s">
        <v>116</v>
      </c>
      <c r="C6" s="76" t="s">
        <v>328</v>
      </c>
      <c r="D6" s="76" t="s">
        <v>116</v>
      </c>
      <c r="E6" s="76"/>
      <c r="F6" s="76" t="s">
        <v>329</v>
      </c>
      <c r="G6" s="77">
        <v>10</v>
      </c>
      <c r="H6" s="77">
        <v>10</v>
      </c>
      <c r="I6" s="77">
        <v>8.5</v>
      </c>
      <c r="J6" s="77">
        <v>0.82</v>
      </c>
      <c r="K6" s="77">
        <v>10</v>
      </c>
      <c r="L6" s="77">
        <v>9</v>
      </c>
      <c r="M6" s="77">
        <v>9</v>
      </c>
      <c r="N6" s="77">
        <v>10</v>
      </c>
      <c r="O6" s="77">
        <v>8.67</v>
      </c>
      <c r="P6" s="77">
        <v>10</v>
      </c>
      <c r="Q6" s="79">
        <v>9.58</v>
      </c>
      <c r="R6" s="79">
        <v>17</v>
      </c>
      <c r="S6" s="77">
        <v>4.17</v>
      </c>
      <c r="T6" s="77">
        <v>9</v>
      </c>
      <c r="U6" s="79">
        <v>13.17</v>
      </c>
      <c r="V6" s="82">
        <v>49.33</v>
      </c>
      <c r="W6" s="76" t="s">
        <v>323</v>
      </c>
    </row>
    <row r="7" spans="1:23" x14ac:dyDescent="0.3">
      <c r="A7" s="76" t="s">
        <v>119</v>
      </c>
      <c r="B7" s="76" t="s">
        <v>118</v>
      </c>
      <c r="C7" s="76" t="s">
        <v>330</v>
      </c>
      <c r="D7" s="76" t="s">
        <v>118</v>
      </c>
      <c r="E7" s="76"/>
      <c r="F7" s="76" t="s">
        <v>331</v>
      </c>
      <c r="G7" s="76" t="s">
        <v>80</v>
      </c>
      <c r="H7" s="77">
        <v>9.5</v>
      </c>
      <c r="I7" s="77">
        <v>9</v>
      </c>
      <c r="J7" s="77">
        <v>0.92</v>
      </c>
      <c r="K7" s="77">
        <v>10</v>
      </c>
      <c r="L7" s="77">
        <v>8.5</v>
      </c>
      <c r="M7" s="77">
        <v>9</v>
      </c>
      <c r="N7" s="77">
        <v>9.67</v>
      </c>
      <c r="O7" s="77">
        <v>8.5</v>
      </c>
      <c r="P7" s="77">
        <v>10</v>
      </c>
      <c r="Q7" s="79">
        <v>9.35</v>
      </c>
      <c r="R7" s="79">
        <v>14</v>
      </c>
      <c r="S7" s="77">
        <v>3.67</v>
      </c>
      <c r="T7" s="77">
        <v>12.5</v>
      </c>
      <c r="U7" s="79">
        <v>16.170000000000002</v>
      </c>
      <c r="V7" s="82">
        <v>48.88</v>
      </c>
      <c r="W7" s="76" t="s">
        <v>323</v>
      </c>
    </row>
    <row r="8" spans="1:23" x14ac:dyDescent="0.3">
      <c r="A8" s="76" t="s">
        <v>121</v>
      </c>
      <c r="B8" s="76" t="s">
        <v>120</v>
      </c>
      <c r="C8" s="76" t="s">
        <v>332</v>
      </c>
      <c r="D8" s="76" t="s">
        <v>120</v>
      </c>
      <c r="E8" s="76"/>
      <c r="F8" s="76" t="s">
        <v>333</v>
      </c>
      <c r="G8" s="77">
        <v>10</v>
      </c>
      <c r="H8" s="77">
        <v>10</v>
      </c>
      <c r="I8" s="77">
        <v>8.5</v>
      </c>
      <c r="J8" s="77">
        <v>0.92</v>
      </c>
      <c r="K8" s="77">
        <v>10</v>
      </c>
      <c r="L8" s="77">
        <v>9</v>
      </c>
      <c r="M8" s="77">
        <v>8.5</v>
      </c>
      <c r="N8" s="77">
        <v>9.67</v>
      </c>
      <c r="O8" s="77">
        <v>9.17</v>
      </c>
      <c r="P8" s="77">
        <v>10</v>
      </c>
      <c r="Q8" s="79">
        <v>9.6300000000000008</v>
      </c>
      <c r="R8" s="79">
        <v>18</v>
      </c>
      <c r="S8" s="77">
        <v>3.17</v>
      </c>
      <c r="T8" s="77">
        <v>12.75</v>
      </c>
      <c r="U8" s="79">
        <v>15.92</v>
      </c>
      <c r="V8" s="82">
        <v>53.17</v>
      </c>
      <c r="W8" s="76" t="s">
        <v>323</v>
      </c>
    </row>
    <row r="9" spans="1:23" x14ac:dyDescent="0.3">
      <c r="A9" s="76" t="s">
        <v>123</v>
      </c>
      <c r="B9" s="76" t="s">
        <v>122</v>
      </c>
      <c r="C9" s="76" t="s">
        <v>334</v>
      </c>
      <c r="D9" s="76" t="s">
        <v>122</v>
      </c>
      <c r="E9" s="76"/>
      <c r="F9" s="76" t="s">
        <v>335</v>
      </c>
      <c r="G9" s="77">
        <v>10</v>
      </c>
      <c r="H9" s="76" t="s">
        <v>80</v>
      </c>
      <c r="I9" s="77">
        <v>10</v>
      </c>
      <c r="J9" s="77">
        <v>0.98</v>
      </c>
      <c r="K9" s="77">
        <v>10</v>
      </c>
      <c r="L9" s="77">
        <v>9</v>
      </c>
      <c r="M9" s="77">
        <v>8.67</v>
      </c>
      <c r="N9" s="77">
        <v>9.67</v>
      </c>
      <c r="O9" s="77">
        <v>8.67</v>
      </c>
      <c r="P9" s="77">
        <v>10</v>
      </c>
      <c r="Q9" s="79">
        <v>9.64</v>
      </c>
      <c r="R9" s="79">
        <v>15</v>
      </c>
      <c r="S9" s="77">
        <v>4</v>
      </c>
      <c r="T9" s="77">
        <v>10.5</v>
      </c>
      <c r="U9" s="79">
        <v>14.5</v>
      </c>
      <c r="V9" s="82">
        <v>48.77</v>
      </c>
      <c r="W9" s="76" t="s">
        <v>323</v>
      </c>
    </row>
    <row r="10" spans="1:23" x14ac:dyDescent="0.3">
      <c r="A10" s="76" t="s">
        <v>125</v>
      </c>
      <c r="B10" s="76" t="s">
        <v>124</v>
      </c>
      <c r="C10" s="76" t="s">
        <v>336</v>
      </c>
      <c r="D10" s="76" t="s">
        <v>124</v>
      </c>
      <c r="E10" s="76"/>
      <c r="F10" s="76" t="s">
        <v>337</v>
      </c>
      <c r="G10" s="77">
        <v>10</v>
      </c>
      <c r="H10" s="77">
        <v>10</v>
      </c>
      <c r="I10" s="77">
        <v>10</v>
      </c>
      <c r="J10" s="77">
        <v>0.95</v>
      </c>
      <c r="K10" s="77">
        <v>10</v>
      </c>
      <c r="L10" s="77">
        <v>8.5</v>
      </c>
      <c r="M10" s="77">
        <v>9</v>
      </c>
      <c r="N10" s="77">
        <v>9.67</v>
      </c>
      <c r="O10" s="77">
        <v>8.67</v>
      </c>
      <c r="P10" s="77">
        <v>10</v>
      </c>
      <c r="Q10" s="79">
        <v>9.77</v>
      </c>
      <c r="R10" s="79">
        <v>18</v>
      </c>
      <c r="S10" s="77">
        <v>3.33</v>
      </c>
      <c r="T10" s="77">
        <v>14.38</v>
      </c>
      <c r="U10" s="79">
        <v>17.71</v>
      </c>
      <c r="V10" s="82">
        <v>55.25</v>
      </c>
      <c r="W10" s="76" t="s">
        <v>323</v>
      </c>
    </row>
    <row r="11" spans="1:23" x14ac:dyDescent="0.3">
      <c r="A11" s="76" t="s">
        <v>127</v>
      </c>
      <c r="B11" s="76" t="s">
        <v>126</v>
      </c>
      <c r="C11" s="76" t="s">
        <v>338</v>
      </c>
      <c r="D11" s="76" t="s">
        <v>126</v>
      </c>
      <c r="E11" s="76" t="s">
        <v>100</v>
      </c>
      <c r="F11" s="76" t="s">
        <v>339</v>
      </c>
      <c r="G11" s="77">
        <v>10</v>
      </c>
      <c r="H11" s="77">
        <v>10</v>
      </c>
      <c r="I11" s="77">
        <v>10</v>
      </c>
      <c r="J11" s="77">
        <v>0.92</v>
      </c>
      <c r="K11" s="77">
        <v>10</v>
      </c>
      <c r="L11" s="77">
        <v>10</v>
      </c>
      <c r="M11" s="77">
        <v>9</v>
      </c>
      <c r="N11" s="77">
        <v>9.67</v>
      </c>
      <c r="O11" s="77">
        <v>8.67</v>
      </c>
      <c r="P11" s="77">
        <v>10</v>
      </c>
      <c r="Q11" s="79">
        <v>9.85</v>
      </c>
      <c r="R11" s="79">
        <v>18</v>
      </c>
      <c r="S11" s="77">
        <v>2.83</v>
      </c>
      <c r="T11" s="77">
        <v>14.63</v>
      </c>
      <c r="U11" s="79">
        <v>17.46</v>
      </c>
      <c r="V11" s="82">
        <v>55.17</v>
      </c>
      <c r="W11" s="76" t="s">
        <v>323</v>
      </c>
    </row>
    <row r="12" spans="1:23" x14ac:dyDescent="0.3">
      <c r="A12" s="76" t="s">
        <v>129</v>
      </c>
      <c r="B12" s="76" t="s">
        <v>128</v>
      </c>
      <c r="C12" s="76" t="s">
        <v>340</v>
      </c>
      <c r="D12" s="76" t="s">
        <v>128</v>
      </c>
      <c r="E12" s="76"/>
      <c r="F12" s="76" t="s">
        <v>341</v>
      </c>
      <c r="G12" s="77">
        <v>10</v>
      </c>
      <c r="H12" s="77">
        <v>10</v>
      </c>
      <c r="I12" s="76" t="s">
        <v>80</v>
      </c>
      <c r="J12" s="77">
        <v>1</v>
      </c>
      <c r="K12" s="77">
        <v>10</v>
      </c>
      <c r="L12" s="77">
        <v>9</v>
      </c>
      <c r="M12" s="77">
        <v>9</v>
      </c>
      <c r="N12" s="77">
        <v>9.67</v>
      </c>
      <c r="O12" s="77">
        <v>9</v>
      </c>
      <c r="P12" s="77">
        <v>10</v>
      </c>
      <c r="Q12" s="79">
        <v>9.7100000000000009</v>
      </c>
      <c r="R12" s="79">
        <v>19</v>
      </c>
      <c r="S12" s="77">
        <v>4</v>
      </c>
      <c r="T12" s="77">
        <v>10.88</v>
      </c>
      <c r="U12" s="79">
        <v>14.88</v>
      </c>
      <c r="V12" s="82">
        <v>53.29</v>
      </c>
      <c r="W12" s="76" t="s">
        <v>323</v>
      </c>
    </row>
    <row r="13" spans="1:23" x14ac:dyDescent="0.3">
      <c r="A13" s="76" t="s">
        <v>131</v>
      </c>
      <c r="B13" s="76" t="s">
        <v>130</v>
      </c>
      <c r="C13" s="76" t="s">
        <v>342</v>
      </c>
      <c r="D13" s="76" t="s">
        <v>130</v>
      </c>
      <c r="E13" s="76"/>
      <c r="F13" s="76" t="s">
        <v>343</v>
      </c>
      <c r="G13" s="77">
        <v>10</v>
      </c>
      <c r="H13" s="77">
        <v>10</v>
      </c>
      <c r="I13" s="77">
        <v>8.5</v>
      </c>
      <c r="J13" s="77">
        <v>1</v>
      </c>
      <c r="K13" s="77">
        <v>10</v>
      </c>
      <c r="L13" s="77">
        <v>10</v>
      </c>
      <c r="M13" s="77">
        <v>9</v>
      </c>
      <c r="N13" s="77">
        <v>10</v>
      </c>
      <c r="O13" s="77">
        <v>10</v>
      </c>
      <c r="P13" s="77">
        <v>10</v>
      </c>
      <c r="Q13" s="79">
        <v>10</v>
      </c>
      <c r="R13" s="79">
        <v>17</v>
      </c>
      <c r="S13" s="77">
        <v>2.67</v>
      </c>
      <c r="T13" s="77">
        <v>13.5</v>
      </c>
      <c r="U13" s="79">
        <v>16.170000000000002</v>
      </c>
      <c r="V13" s="82">
        <v>53.17</v>
      </c>
      <c r="W13" s="76" t="s">
        <v>323</v>
      </c>
    </row>
    <row r="14" spans="1:23" x14ac:dyDescent="0.3">
      <c r="A14" s="76" t="s">
        <v>133</v>
      </c>
      <c r="B14" s="76" t="s">
        <v>132</v>
      </c>
      <c r="C14" s="76" t="s">
        <v>344</v>
      </c>
      <c r="D14" s="76" t="s">
        <v>132</v>
      </c>
      <c r="E14" s="76"/>
      <c r="F14" s="76" t="s">
        <v>345</v>
      </c>
      <c r="G14" s="76" t="s">
        <v>80</v>
      </c>
      <c r="H14" s="77">
        <v>10</v>
      </c>
      <c r="I14" s="77">
        <v>10</v>
      </c>
      <c r="J14" s="77">
        <v>0.98</v>
      </c>
      <c r="K14" s="77">
        <v>10</v>
      </c>
      <c r="L14" s="76" t="s">
        <v>80</v>
      </c>
      <c r="M14" s="77">
        <v>9</v>
      </c>
      <c r="N14" s="77">
        <v>3.67</v>
      </c>
      <c r="O14" s="77">
        <v>9.17</v>
      </c>
      <c r="P14" s="77">
        <v>10</v>
      </c>
      <c r="Q14" s="79">
        <v>8.9499999999999993</v>
      </c>
      <c r="R14" s="79">
        <v>19</v>
      </c>
      <c r="S14" s="77">
        <v>3.67</v>
      </c>
      <c r="T14" s="77">
        <v>10.75</v>
      </c>
      <c r="U14" s="79">
        <v>14.42</v>
      </c>
      <c r="V14" s="82">
        <v>51.31</v>
      </c>
      <c r="W14" s="76" t="s">
        <v>323</v>
      </c>
    </row>
    <row r="15" spans="1:23" x14ac:dyDescent="0.3">
      <c r="A15" s="76" t="s">
        <v>135</v>
      </c>
      <c r="B15" s="76" t="s">
        <v>134</v>
      </c>
      <c r="C15" s="76" t="s">
        <v>346</v>
      </c>
      <c r="D15" s="76" t="s">
        <v>134</v>
      </c>
      <c r="E15" s="76"/>
      <c r="F15" s="76" t="s">
        <v>347</v>
      </c>
      <c r="G15" s="76" t="s">
        <v>80</v>
      </c>
      <c r="H15" s="77">
        <v>10</v>
      </c>
      <c r="I15" s="77">
        <v>9</v>
      </c>
      <c r="J15" s="76" t="s">
        <v>80</v>
      </c>
      <c r="K15" s="77">
        <v>10</v>
      </c>
      <c r="L15" s="77">
        <v>9</v>
      </c>
      <c r="M15" s="77">
        <v>9</v>
      </c>
      <c r="N15" s="77">
        <v>10</v>
      </c>
      <c r="O15" s="77">
        <v>9.17</v>
      </c>
      <c r="P15" s="77">
        <v>10</v>
      </c>
      <c r="Q15" s="79">
        <v>9.52</v>
      </c>
      <c r="R15" s="79">
        <v>20</v>
      </c>
      <c r="S15" s="77">
        <v>4.17</v>
      </c>
      <c r="T15" s="77">
        <v>14</v>
      </c>
      <c r="U15" s="79">
        <v>18.170000000000002</v>
      </c>
      <c r="V15" s="82">
        <v>57.21</v>
      </c>
      <c r="W15" s="76" t="s">
        <v>323</v>
      </c>
    </row>
    <row r="16" spans="1:23" x14ac:dyDescent="0.3">
      <c r="A16" s="76" t="s">
        <v>137</v>
      </c>
      <c r="B16" s="76" t="s">
        <v>136</v>
      </c>
      <c r="C16" s="76" t="s">
        <v>348</v>
      </c>
      <c r="D16" s="76" t="s">
        <v>136</v>
      </c>
      <c r="E16" s="76"/>
      <c r="F16" s="76" t="s">
        <v>349</v>
      </c>
      <c r="G16" s="77">
        <v>10</v>
      </c>
      <c r="H16" s="77">
        <v>10</v>
      </c>
      <c r="I16" s="76" t="s">
        <v>80</v>
      </c>
      <c r="J16" s="77">
        <v>0.89</v>
      </c>
      <c r="K16" s="77">
        <v>10</v>
      </c>
      <c r="L16" s="77">
        <v>9</v>
      </c>
      <c r="M16" s="77">
        <v>8.5</v>
      </c>
      <c r="N16" s="77">
        <v>9.67</v>
      </c>
      <c r="O16" s="77">
        <v>8.5</v>
      </c>
      <c r="P16" s="77">
        <v>10</v>
      </c>
      <c r="Q16" s="79">
        <v>9.51</v>
      </c>
      <c r="R16" s="79">
        <v>19</v>
      </c>
      <c r="S16" s="77">
        <v>2</v>
      </c>
      <c r="T16" s="77">
        <v>9.8800000000000008</v>
      </c>
      <c r="U16" s="79">
        <v>11.88</v>
      </c>
      <c r="V16" s="82">
        <v>49.9</v>
      </c>
      <c r="W16" s="76" t="s">
        <v>323</v>
      </c>
    </row>
    <row r="17" spans="1:23" x14ac:dyDescent="0.3">
      <c r="A17" s="76" t="s">
        <v>139</v>
      </c>
      <c r="B17" s="76" t="s">
        <v>138</v>
      </c>
      <c r="C17" s="76" t="s">
        <v>350</v>
      </c>
      <c r="D17" s="76" t="s">
        <v>138</v>
      </c>
      <c r="E17" s="76"/>
      <c r="F17" s="76" t="s">
        <v>351</v>
      </c>
      <c r="G17" s="76" t="s">
        <v>80</v>
      </c>
      <c r="H17" s="77">
        <v>9.5</v>
      </c>
      <c r="I17" s="77">
        <v>9</v>
      </c>
      <c r="J17" s="77">
        <v>0.69</v>
      </c>
      <c r="K17" s="77">
        <v>9.5</v>
      </c>
      <c r="L17" s="77">
        <v>8.17</v>
      </c>
      <c r="M17" s="77">
        <v>9</v>
      </c>
      <c r="N17" s="77">
        <v>9.33</v>
      </c>
      <c r="O17" s="77">
        <v>7.83</v>
      </c>
      <c r="P17" s="77">
        <v>10</v>
      </c>
      <c r="Q17" s="79">
        <v>9.0399999999999991</v>
      </c>
      <c r="R17" s="79">
        <v>18</v>
      </c>
      <c r="S17" s="77">
        <v>3.67</v>
      </c>
      <c r="T17" s="77">
        <v>12.5</v>
      </c>
      <c r="U17" s="79">
        <v>16.170000000000002</v>
      </c>
      <c r="V17" s="82">
        <v>52.25</v>
      </c>
      <c r="W17" s="76" t="s">
        <v>323</v>
      </c>
    </row>
    <row r="18" spans="1:23" x14ac:dyDescent="0.3">
      <c r="A18" s="76" t="s">
        <v>141</v>
      </c>
      <c r="B18" s="76" t="s">
        <v>140</v>
      </c>
      <c r="C18" s="76" t="s">
        <v>352</v>
      </c>
      <c r="D18" s="76" t="s">
        <v>140</v>
      </c>
      <c r="E18" s="76"/>
      <c r="F18" s="76" t="s">
        <v>353</v>
      </c>
      <c r="G18" s="77">
        <v>10</v>
      </c>
      <c r="H18" s="77">
        <v>10</v>
      </c>
      <c r="I18" s="77">
        <v>10</v>
      </c>
      <c r="J18" s="77">
        <v>0.92</v>
      </c>
      <c r="K18" s="77">
        <v>10</v>
      </c>
      <c r="L18" s="77">
        <v>10</v>
      </c>
      <c r="M18" s="77">
        <v>9</v>
      </c>
      <c r="N18" s="77">
        <v>9.67</v>
      </c>
      <c r="O18" s="77">
        <v>8.67</v>
      </c>
      <c r="P18" s="77">
        <v>10</v>
      </c>
      <c r="Q18" s="79">
        <v>9.85</v>
      </c>
      <c r="R18" s="79">
        <v>18</v>
      </c>
      <c r="S18" s="77">
        <v>4.33</v>
      </c>
      <c r="T18" s="77">
        <v>11.38</v>
      </c>
      <c r="U18" s="79">
        <v>15.71</v>
      </c>
      <c r="V18" s="82">
        <v>53.42</v>
      </c>
      <c r="W18" s="76" t="s">
        <v>323</v>
      </c>
    </row>
    <row r="19" spans="1:23" x14ac:dyDescent="0.3">
      <c r="A19" s="76" t="s">
        <v>143</v>
      </c>
      <c r="B19" s="76" t="s">
        <v>142</v>
      </c>
      <c r="C19" s="76" t="s">
        <v>354</v>
      </c>
      <c r="D19" s="76" t="s">
        <v>142</v>
      </c>
      <c r="E19" s="76" t="s">
        <v>355</v>
      </c>
      <c r="F19" s="76" t="s">
        <v>356</v>
      </c>
      <c r="G19" s="77">
        <v>10</v>
      </c>
      <c r="H19" s="77">
        <v>10</v>
      </c>
      <c r="I19" s="77">
        <v>10</v>
      </c>
      <c r="J19" s="77">
        <v>1</v>
      </c>
      <c r="K19" s="77">
        <v>10</v>
      </c>
      <c r="L19" s="77">
        <v>10</v>
      </c>
      <c r="M19" s="77">
        <v>10</v>
      </c>
      <c r="N19" s="77">
        <v>10</v>
      </c>
      <c r="O19" s="77">
        <v>10</v>
      </c>
      <c r="P19" s="77">
        <v>10</v>
      </c>
      <c r="Q19" s="79">
        <v>10</v>
      </c>
      <c r="R19" s="79">
        <v>17</v>
      </c>
      <c r="S19" s="77">
        <v>2.67</v>
      </c>
      <c r="T19" s="77">
        <v>10.63</v>
      </c>
      <c r="U19" s="79">
        <v>13.29</v>
      </c>
      <c r="V19" s="82">
        <v>50.29</v>
      </c>
      <c r="W19" s="76" t="s">
        <v>323</v>
      </c>
    </row>
    <row r="20" spans="1:23" x14ac:dyDescent="0.3">
      <c r="A20" s="76" t="s">
        <v>145</v>
      </c>
      <c r="B20" s="76" t="s">
        <v>144</v>
      </c>
      <c r="C20" s="76" t="s">
        <v>357</v>
      </c>
      <c r="D20" s="76" t="s">
        <v>144</v>
      </c>
      <c r="E20" s="76"/>
      <c r="F20" s="76" t="s">
        <v>358</v>
      </c>
      <c r="G20" s="77">
        <v>10</v>
      </c>
      <c r="H20" s="77">
        <v>10</v>
      </c>
      <c r="I20" s="77">
        <v>8.5</v>
      </c>
      <c r="J20" s="77">
        <v>0.92</v>
      </c>
      <c r="K20" s="77">
        <v>10</v>
      </c>
      <c r="L20" s="77">
        <v>9</v>
      </c>
      <c r="M20" s="77">
        <v>9.5</v>
      </c>
      <c r="N20" s="77">
        <v>9.67</v>
      </c>
      <c r="O20" s="77">
        <v>9.17</v>
      </c>
      <c r="P20" s="77">
        <v>10</v>
      </c>
      <c r="Q20" s="79">
        <v>9.69</v>
      </c>
      <c r="R20" s="79">
        <v>17</v>
      </c>
      <c r="S20" s="77">
        <v>4.33</v>
      </c>
      <c r="T20" s="77">
        <v>9.3800000000000008</v>
      </c>
      <c r="U20" s="79">
        <v>13.71</v>
      </c>
      <c r="V20" s="82">
        <v>50.08</v>
      </c>
      <c r="W20" s="76" t="s">
        <v>323</v>
      </c>
    </row>
    <row r="21" spans="1:23" x14ac:dyDescent="0.3">
      <c r="A21" s="76" t="s">
        <v>147</v>
      </c>
      <c r="B21" s="76" t="s">
        <v>146</v>
      </c>
      <c r="C21" s="76" t="s">
        <v>359</v>
      </c>
      <c r="D21" s="76" t="s">
        <v>146</v>
      </c>
      <c r="E21" s="76"/>
      <c r="F21" s="76" t="s">
        <v>360</v>
      </c>
      <c r="G21" s="77">
        <v>10</v>
      </c>
      <c r="H21" s="77">
        <v>10</v>
      </c>
      <c r="I21" s="77">
        <v>8.5</v>
      </c>
      <c r="J21" s="76" t="s">
        <v>80</v>
      </c>
      <c r="K21" s="77">
        <v>10</v>
      </c>
      <c r="L21" s="77">
        <v>9</v>
      </c>
      <c r="M21" s="77">
        <v>9</v>
      </c>
      <c r="N21" s="76" t="s">
        <v>80</v>
      </c>
      <c r="O21" s="77">
        <v>8.67</v>
      </c>
      <c r="P21" s="77">
        <v>10</v>
      </c>
      <c r="Q21" s="79">
        <v>9.4</v>
      </c>
      <c r="R21" s="79">
        <v>11</v>
      </c>
      <c r="S21" s="77">
        <v>3.17</v>
      </c>
      <c r="T21" s="77">
        <v>7</v>
      </c>
      <c r="U21" s="79">
        <v>10.17</v>
      </c>
      <c r="V21" s="82">
        <v>39.96</v>
      </c>
      <c r="W21" s="76" t="s">
        <v>323</v>
      </c>
    </row>
    <row r="22" spans="1:23" x14ac:dyDescent="0.3">
      <c r="A22" s="76" t="s">
        <v>149</v>
      </c>
      <c r="B22" s="76" t="s">
        <v>148</v>
      </c>
      <c r="C22" s="76" t="s">
        <v>361</v>
      </c>
      <c r="D22" s="76" t="s">
        <v>148</v>
      </c>
      <c r="E22" s="76"/>
      <c r="F22" s="76" t="s">
        <v>362</v>
      </c>
      <c r="G22" s="77">
        <v>10</v>
      </c>
      <c r="H22" s="77">
        <v>10</v>
      </c>
      <c r="I22" s="77">
        <v>10</v>
      </c>
      <c r="J22" s="77">
        <v>1</v>
      </c>
      <c r="K22" s="77">
        <v>10</v>
      </c>
      <c r="L22" s="77">
        <v>10</v>
      </c>
      <c r="M22" s="77">
        <v>10</v>
      </c>
      <c r="N22" s="77">
        <v>10</v>
      </c>
      <c r="O22" s="77">
        <v>10</v>
      </c>
      <c r="P22" s="77">
        <v>10</v>
      </c>
      <c r="Q22" s="79">
        <v>10</v>
      </c>
      <c r="R22" s="79">
        <v>17</v>
      </c>
      <c r="S22" s="77">
        <v>3.8</v>
      </c>
      <c r="T22" s="77">
        <v>9.25</v>
      </c>
      <c r="U22" s="79">
        <v>13.05</v>
      </c>
      <c r="V22" s="82">
        <v>50.05</v>
      </c>
      <c r="W22" s="76" t="s">
        <v>323</v>
      </c>
    </row>
    <row r="23" spans="1:23" x14ac:dyDescent="0.3">
      <c r="A23" s="76" t="s">
        <v>151</v>
      </c>
      <c r="B23" s="76" t="s">
        <v>150</v>
      </c>
      <c r="C23" s="76" t="s">
        <v>363</v>
      </c>
      <c r="D23" s="76" t="s">
        <v>150</v>
      </c>
      <c r="E23" s="76"/>
      <c r="F23" s="76" t="s">
        <v>364</v>
      </c>
      <c r="G23" s="76" t="s">
        <v>80</v>
      </c>
      <c r="H23" s="76" t="s">
        <v>80</v>
      </c>
      <c r="I23" s="76" t="s">
        <v>80</v>
      </c>
      <c r="J23" s="76" t="s">
        <v>80</v>
      </c>
      <c r="K23" s="77">
        <v>10</v>
      </c>
      <c r="L23" s="77">
        <v>10</v>
      </c>
      <c r="M23" s="77">
        <v>9</v>
      </c>
      <c r="N23" s="77">
        <v>10</v>
      </c>
      <c r="O23" s="77">
        <v>8.17</v>
      </c>
      <c r="P23" s="76" t="s">
        <v>80</v>
      </c>
      <c r="Q23" s="79">
        <v>5.9</v>
      </c>
      <c r="R23" s="79">
        <v>12</v>
      </c>
      <c r="S23" s="77">
        <v>3.5</v>
      </c>
      <c r="T23" s="77">
        <v>8.75</v>
      </c>
      <c r="U23" s="79">
        <v>12.25</v>
      </c>
      <c r="V23" s="82">
        <v>36.04</v>
      </c>
      <c r="W23" s="76" t="s">
        <v>323</v>
      </c>
    </row>
    <row r="24" spans="1:23" x14ac:dyDescent="0.3">
      <c r="A24" s="76" t="s">
        <v>153</v>
      </c>
      <c r="B24" s="76" t="s">
        <v>152</v>
      </c>
      <c r="C24" s="76" t="s">
        <v>365</v>
      </c>
      <c r="D24" s="76" t="s">
        <v>152</v>
      </c>
      <c r="E24" s="76"/>
      <c r="F24" s="76" t="s">
        <v>366</v>
      </c>
      <c r="G24" s="76" t="s">
        <v>80</v>
      </c>
      <c r="H24" s="76" t="s">
        <v>80</v>
      </c>
      <c r="I24" s="76" t="s">
        <v>80</v>
      </c>
      <c r="J24" s="76" t="s">
        <v>80</v>
      </c>
      <c r="K24" s="76" t="s">
        <v>80</v>
      </c>
      <c r="L24" s="77">
        <v>10</v>
      </c>
      <c r="M24" s="77">
        <v>9.5</v>
      </c>
      <c r="N24" s="77">
        <v>9.67</v>
      </c>
      <c r="O24" s="77">
        <v>8.33</v>
      </c>
      <c r="P24" s="77">
        <v>10</v>
      </c>
      <c r="Q24" s="79">
        <v>5.94</v>
      </c>
      <c r="R24" s="79">
        <v>11</v>
      </c>
      <c r="S24" s="77">
        <v>3.83</v>
      </c>
      <c r="T24" s="77">
        <v>9.1300000000000008</v>
      </c>
      <c r="U24" s="79">
        <v>12.96</v>
      </c>
      <c r="V24" s="82">
        <v>35.83</v>
      </c>
      <c r="W24" s="76" t="s">
        <v>323</v>
      </c>
    </row>
    <row r="25" spans="1:23" x14ac:dyDescent="0.3">
      <c r="A25" s="76" t="s">
        <v>155</v>
      </c>
      <c r="B25" s="76" t="s">
        <v>154</v>
      </c>
      <c r="C25" s="76" t="s">
        <v>367</v>
      </c>
      <c r="D25" s="76" t="s">
        <v>154</v>
      </c>
      <c r="E25" s="76"/>
      <c r="F25" s="76" t="s">
        <v>368</v>
      </c>
      <c r="G25" s="77">
        <v>10</v>
      </c>
      <c r="H25" s="77">
        <v>10</v>
      </c>
      <c r="I25" s="77">
        <v>10</v>
      </c>
      <c r="J25" s="77">
        <v>1</v>
      </c>
      <c r="K25" s="77">
        <v>10</v>
      </c>
      <c r="L25" s="77">
        <v>10</v>
      </c>
      <c r="M25" s="77">
        <v>10</v>
      </c>
      <c r="N25" s="77">
        <v>10</v>
      </c>
      <c r="O25" s="77">
        <v>10</v>
      </c>
      <c r="P25" s="77">
        <v>10</v>
      </c>
      <c r="Q25" s="79">
        <v>10</v>
      </c>
      <c r="R25" s="79">
        <v>19</v>
      </c>
      <c r="S25" s="77">
        <v>4</v>
      </c>
      <c r="T25" s="77">
        <v>12.75</v>
      </c>
      <c r="U25" s="79">
        <v>16.75</v>
      </c>
      <c r="V25" s="82">
        <v>55.75</v>
      </c>
      <c r="W25" s="76" t="s">
        <v>323</v>
      </c>
    </row>
    <row r="26" spans="1:23" x14ac:dyDescent="0.3">
      <c r="A26" s="76" t="s">
        <v>157</v>
      </c>
      <c r="B26" s="76" t="s">
        <v>156</v>
      </c>
      <c r="C26" s="76" t="s">
        <v>369</v>
      </c>
      <c r="D26" s="76" t="s">
        <v>156</v>
      </c>
      <c r="E26" s="76"/>
      <c r="F26" s="76" t="s">
        <v>370</v>
      </c>
      <c r="G26" s="77">
        <v>10</v>
      </c>
      <c r="H26" s="77">
        <v>10</v>
      </c>
      <c r="I26" s="77">
        <v>9</v>
      </c>
      <c r="J26" s="77">
        <v>1</v>
      </c>
      <c r="K26" s="77">
        <v>10</v>
      </c>
      <c r="L26" s="77">
        <v>10</v>
      </c>
      <c r="M26" s="77">
        <v>9.67</v>
      </c>
      <c r="N26" s="77">
        <v>10</v>
      </c>
      <c r="O26" s="77">
        <v>10</v>
      </c>
      <c r="P26" s="77">
        <v>10</v>
      </c>
      <c r="Q26" s="79">
        <v>10</v>
      </c>
      <c r="R26" s="79">
        <v>14</v>
      </c>
      <c r="S26" s="77">
        <v>4</v>
      </c>
      <c r="T26" s="77">
        <v>12.75</v>
      </c>
      <c r="U26" s="79">
        <v>16.75</v>
      </c>
      <c r="V26" s="82">
        <v>50.75</v>
      </c>
      <c r="W26" s="76" t="s">
        <v>323</v>
      </c>
    </row>
    <row r="27" spans="1:23" x14ac:dyDescent="0.3">
      <c r="A27" s="76" t="s">
        <v>159</v>
      </c>
      <c r="B27" s="76" t="s">
        <v>158</v>
      </c>
      <c r="C27" s="76" t="s">
        <v>371</v>
      </c>
      <c r="D27" s="76" t="s">
        <v>158</v>
      </c>
      <c r="E27" s="76"/>
      <c r="F27" s="76" t="s">
        <v>372</v>
      </c>
      <c r="G27" s="77">
        <v>10</v>
      </c>
      <c r="H27" s="77">
        <v>10</v>
      </c>
      <c r="I27" s="76" t="s">
        <v>80</v>
      </c>
      <c r="J27" s="77">
        <v>0.88</v>
      </c>
      <c r="K27" s="77">
        <v>10</v>
      </c>
      <c r="L27" s="77">
        <v>10</v>
      </c>
      <c r="M27" s="77">
        <v>9.5</v>
      </c>
      <c r="N27" s="77">
        <v>10</v>
      </c>
      <c r="O27" s="77">
        <v>9.17</v>
      </c>
      <c r="P27" s="77">
        <v>10</v>
      </c>
      <c r="Q27" s="79">
        <v>9.83</v>
      </c>
      <c r="R27" s="79">
        <v>19</v>
      </c>
      <c r="S27" s="77">
        <v>3</v>
      </c>
      <c r="T27" s="77">
        <v>10.63</v>
      </c>
      <c r="U27" s="79">
        <v>13.63</v>
      </c>
      <c r="V27" s="82">
        <v>52.29</v>
      </c>
      <c r="W27" s="76" t="s">
        <v>323</v>
      </c>
    </row>
    <row r="28" spans="1:23" x14ac:dyDescent="0.3">
      <c r="A28" s="76" t="s">
        <v>161</v>
      </c>
      <c r="B28" s="76" t="s">
        <v>160</v>
      </c>
      <c r="C28" s="76" t="s">
        <v>373</v>
      </c>
      <c r="D28" s="76" t="s">
        <v>160</v>
      </c>
      <c r="E28" s="76"/>
      <c r="F28" s="76" t="s">
        <v>374</v>
      </c>
      <c r="G28" s="76" t="s">
        <v>80</v>
      </c>
      <c r="H28" s="77">
        <v>10</v>
      </c>
      <c r="I28" s="77">
        <v>8</v>
      </c>
      <c r="J28" s="77">
        <v>0.92</v>
      </c>
      <c r="K28" s="77">
        <v>0</v>
      </c>
      <c r="L28" s="77">
        <v>9</v>
      </c>
      <c r="M28" s="77">
        <v>9</v>
      </c>
      <c r="N28" s="77">
        <v>9.67</v>
      </c>
      <c r="O28" s="77">
        <v>8.67</v>
      </c>
      <c r="P28" s="77">
        <v>10</v>
      </c>
      <c r="Q28" s="79">
        <v>9.19</v>
      </c>
      <c r="R28" s="79">
        <v>14</v>
      </c>
      <c r="S28" s="77">
        <v>3.17</v>
      </c>
      <c r="T28" s="77">
        <v>7</v>
      </c>
      <c r="U28" s="79">
        <v>10.17</v>
      </c>
      <c r="V28" s="82">
        <v>42.54</v>
      </c>
      <c r="W28" s="76" t="s">
        <v>323</v>
      </c>
    </row>
    <row r="29" spans="1:23" x14ac:dyDescent="0.3">
      <c r="A29" s="76" t="s">
        <v>163</v>
      </c>
      <c r="B29" s="76" t="s">
        <v>162</v>
      </c>
      <c r="C29" s="76" t="s">
        <v>375</v>
      </c>
      <c r="D29" s="76" t="s">
        <v>162</v>
      </c>
      <c r="E29" s="76"/>
      <c r="F29" s="76" t="s">
        <v>376</v>
      </c>
      <c r="G29" s="77">
        <v>10</v>
      </c>
      <c r="H29" s="77">
        <v>10</v>
      </c>
      <c r="I29" s="77">
        <v>9</v>
      </c>
      <c r="J29" s="77">
        <v>1</v>
      </c>
      <c r="K29" s="77">
        <v>10</v>
      </c>
      <c r="L29" s="77">
        <v>10</v>
      </c>
      <c r="M29" s="77">
        <v>10</v>
      </c>
      <c r="N29" s="77">
        <v>10</v>
      </c>
      <c r="O29" s="77">
        <v>10</v>
      </c>
      <c r="P29" s="77">
        <v>10</v>
      </c>
      <c r="Q29" s="79">
        <v>10</v>
      </c>
      <c r="R29" s="79">
        <v>14</v>
      </c>
      <c r="S29" s="77">
        <v>3.8</v>
      </c>
      <c r="T29" s="77">
        <v>9.25</v>
      </c>
      <c r="U29" s="79">
        <v>13.05</v>
      </c>
      <c r="V29" s="82">
        <v>47.05</v>
      </c>
      <c r="W29" s="76" t="s">
        <v>323</v>
      </c>
    </row>
    <row r="30" spans="1:23" x14ac:dyDescent="0.3">
      <c r="A30" s="76" t="s">
        <v>165</v>
      </c>
      <c r="B30" s="76" t="s">
        <v>164</v>
      </c>
      <c r="C30" s="76" t="s">
        <v>377</v>
      </c>
      <c r="D30" s="76" t="s">
        <v>164</v>
      </c>
      <c r="E30" s="76"/>
      <c r="F30" s="76" t="s">
        <v>378</v>
      </c>
      <c r="G30" s="77">
        <v>10</v>
      </c>
      <c r="H30" s="77">
        <v>10</v>
      </c>
      <c r="I30" s="76" t="s">
        <v>80</v>
      </c>
      <c r="J30" s="76" t="s">
        <v>80</v>
      </c>
      <c r="K30" s="77">
        <v>10</v>
      </c>
      <c r="L30" s="77">
        <v>9</v>
      </c>
      <c r="M30" s="77">
        <v>9.5</v>
      </c>
      <c r="N30" s="77">
        <v>10</v>
      </c>
      <c r="O30" s="77">
        <v>8.5</v>
      </c>
      <c r="P30" s="76" t="s">
        <v>80</v>
      </c>
      <c r="Q30" s="79">
        <v>8.3800000000000008</v>
      </c>
      <c r="R30" s="79">
        <v>13</v>
      </c>
      <c r="S30" s="77">
        <v>4</v>
      </c>
      <c r="T30" s="77">
        <v>9.25</v>
      </c>
      <c r="U30" s="79">
        <v>13.25</v>
      </c>
      <c r="V30" s="82">
        <v>43</v>
      </c>
      <c r="W30" s="76" t="s">
        <v>323</v>
      </c>
    </row>
    <row r="31" spans="1:23" x14ac:dyDescent="0.3">
      <c r="A31" s="76" t="s">
        <v>167</v>
      </c>
      <c r="B31" s="76" t="s">
        <v>166</v>
      </c>
      <c r="C31" s="76" t="s">
        <v>379</v>
      </c>
      <c r="D31" s="76" t="s">
        <v>166</v>
      </c>
      <c r="E31" s="76"/>
      <c r="F31" s="76" t="s">
        <v>380</v>
      </c>
      <c r="G31" s="77">
        <v>10</v>
      </c>
      <c r="H31" s="77">
        <v>10</v>
      </c>
      <c r="I31" s="77">
        <v>10</v>
      </c>
      <c r="J31" s="77">
        <v>0.95</v>
      </c>
      <c r="K31" s="77">
        <v>10</v>
      </c>
      <c r="L31" s="77">
        <v>10</v>
      </c>
      <c r="M31" s="77">
        <v>9</v>
      </c>
      <c r="N31" s="77">
        <v>9.67</v>
      </c>
      <c r="O31" s="77">
        <v>9</v>
      </c>
      <c r="P31" s="77">
        <v>10</v>
      </c>
      <c r="Q31" s="79">
        <v>9.9</v>
      </c>
      <c r="R31" s="79">
        <v>18</v>
      </c>
      <c r="S31" s="77">
        <v>3.67</v>
      </c>
      <c r="T31" s="77">
        <v>10.75</v>
      </c>
      <c r="U31" s="79">
        <v>14.42</v>
      </c>
      <c r="V31" s="82">
        <v>52.21</v>
      </c>
      <c r="W31" s="76" t="s">
        <v>323</v>
      </c>
    </row>
    <row r="32" spans="1:23" x14ac:dyDescent="0.3">
      <c r="A32" s="76" t="s">
        <v>169</v>
      </c>
      <c r="B32" s="76" t="s">
        <v>168</v>
      </c>
      <c r="C32" s="76" t="s">
        <v>381</v>
      </c>
      <c r="D32" s="76" t="s">
        <v>168</v>
      </c>
      <c r="E32" s="76"/>
      <c r="F32" s="76" t="s">
        <v>382</v>
      </c>
      <c r="G32" s="76" t="s">
        <v>80</v>
      </c>
      <c r="H32" s="77">
        <v>10</v>
      </c>
      <c r="I32" s="77">
        <v>10</v>
      </c>
      <c r="J32" s="77">
        <v>0.97</v>
      </c>
      <c r="K32" s="77">
        <v>10</v>
      </c>
      <c r="L32" s="77">
        <v>10</v>
      </c>
      <c r="M32" s="77">
        <v>9.5</v>
      </c>
      <c r="N32" s="77">
        <v>10</v>
      </c>
      <c r="O32" s="77">
        <v>8.67</v>
      </c>
      <c r="P32" s="77">
        <v>10</v>
      </c>
      <c r="Q32" s="79">
        <v>9.9</v>
      </c>
      <c r="R32" s="79">
        <v>18</v>
      </c>
      <c r="S32" s="77">
        <v>3.83</v>
      </c>
      <c r="T32" s="77">
        <v>12.63</v>
      </c>
      <c r="U32" s="79">
        <v>16.46</v>
      </c>
      <c r="V32" s="82">
        <v>54.25</v>
      </c>
      <c r="W32" s="76" t="s">
        <v>323</v>
      </c>
    </row>
    <row r="33" spans="1:23" x14ac:dyDescent="0.3">
      <c r="A33" s="76" t="s">
        <v>171</v>
      </c>
      <c r="B33" s="76" t="s">
        <v>170</v>
      </c>
      <c r="C33" s="76" t="s">
        <v>383</v>
      </c>
      <c r="D33" s="76" t="s">
        <v>170</v>
      </c>
      <c r="E33" s="76"/>
      <c r="F33" s="76" t="s">
        <v>384</v>
      </c>
      <c r="G33" s="76" t="s">
        <v>80</v>
      </c>
      <c r="H33" s="77">
        <v>10</v>
      </c>
      <c r="I33" s="77">
        <v>10</v>
      </c>
      <c r="J33" s="77">
        <v>0.97</v>
      </c>
      <c r="K33" s="77">
        <v>10</v>
      </c>
      <c r="L33" s="77">
        <v>10</v>
      </c>
      <c r="M33" s="77">
        <v>9.5</v>
      </c>
      <c r="N33" s="77">
        <v>10</v>
      </c>
      <c r="O33" s="77">
        <v>9.17</v>
      </c>
      <c r="P33" s="77">
        <v>10</v>
      </c>
      <c r="Q33" s="79">
        <v>9.9</v>
      </c>
      <c r="R33" s="79">
        <v>20</v>
      </c>
      <c r="S33" s="77">
        <v>3.83</v>
      </c>
      <c r="T33" s="77">
        <v>12.63</v>
      </c>
      <c r="U33" s="79">
        <v>16.46</v>
      </c>
      <c r="V33" s="82">
        <v>56.25</v>
      </c>
      <c r="W33" s="76" t="s">
        <v>323</v>
      </c>
    </row>
    <row r="34" spans="1:23" x14ac:dyDescent="0.3">
      <c r="A34" s="76" t="s">
        <v>173</v>
      </c>
      <c r="B34" s="76" t="s">
        <v>172</v>
      </c>
      <c r="C34" s="76" t="s">
        <v>385</v>
      </c>
      <c r="D34" s="76" t="s">
        <v>172</v>
      </c>
      <c r="E34" s="76"/>
      <c r="F34" s="76" t="s">
        <v>386</v>
      </c>
      <c r="G34" s="76" t="s">
        <v>80</v>
      </c>
      <c r="H34" s="76" t="s">
        <v>80</v>
      </c>
      <c r="I34" s="77">
        <v>8.5</v>
      </c>
      <c r="J34" s="76" t="s">
        <v>80</v>
      </c>
      <c r="K34" s="77">
        <v>10</v>
      </c>
      <c r="L34" s="77">
        <v>9</v>
      </c>
      <c r="M34" s="77">
        <v>9.5</v>
      </c>
      <c r="N34" s="77">
        <v>9.67</v>
      </c>
      <c r="O34" s="77">
        <v>9.17</v>
      </c>
      <c r="P34" s="77">
        <v>10</v>
      </c>
      <c r="Q34" s="79">
        <v>8.23</v>
      </c>
      <c r="R34" s="79">
        <v>11</v>
      </c>
      <c r="S34" s="77">
        <v>2.17</v>
      </c>
      <c r="T34" s="77">
        <v>8.1300000000000008</v>
      </c>
      <c r="U34" s="79">
        <v>10.29</v>
      </c>
      <c r="V34" s="82">
        <v>37.75</v>
      </c>
      <c r="W34" s="76" t="s">
        <v>323</v>
      </c>
    </row>
    <row r="35" spans="1:23" x14ac:dyDescent="0.3">
      <c r="A35" s="76" t="s">
        <v>175</v>
      </c>
      <c r="B35" s="76" t="s">
        <v>174</v>
      </c>
      <c r="C35" s="76" t="s">
        <v>387</v>
      </c>
      <c r="D35" s="76" t="s">
        <v>174</v>
      </c>
      <c r="E35" s="76"/>
      <c r="F35" s="76" t="s">
        <v>388</v>
      </c>
      <c r="G35" s="77">
        <v>10</v>
      </c>
      <c r="H35" s="77">
        <v>10</v>
      </c>
      <c r="I35" s="77">
        <v>10</v>
      </c>
      <c r="J35" s="77">
        <v>1</v>
      </c>
      <c r="K35" s="77">
        <v>10</v>
      </c>
      <c r="L35" s="77">
        <v>9.17</v>
      </c>
      <c r="M35" s="77">
        <v>9.5</v>
      </c>
      <c r="N35" s="77">
        <v>10</v>
      </c>
      <c r="O35" s="77">
        <v>10</v>
      </c>
      <c r="P35" s="77">
        <v>10</v>
      </c>
      <c r="Q35" s="79">
        <v>10</v>
      </c>
      <c r="R35" s="79">
        <v>17</v>
      </c>
      <c r="S35" s="77">
        <v>3.83</v>
      </c>
      <c r="T35" s="77">
        <v>10.63</v>
      </c>
      <c r="U35" s="79">
        <v>14.46</v>
      </c>
      <c r="V35" s="82">
        <v>51.46</v>
      </c>
      <c r="W35" s="76" t="s">
        <v>323</v>
      </c>
    </row>
    <row r="36" spans="1:23" x14ac:dyDescent="0.3">
      <c r="A36" s="76" t="s">
        <v>177</v>
      </c>
      <c r="B36" s="76" t="s">
        <v>176</v>
      </c>
      <c r="C36" s="76" t="s">
        <v>389</v>
      </c>
      <c r="D36" s="76" t="s">
        <v>176</v>
      </c>
      <c r="E36" s="76"/>
      <c r="F36" s="76" t="s">
        <v>390</v>
      </c>
      <c r="G36" s="77">
        <v>10</v>
      </c>
      <c r="H36" s="77">
        <v>10</v>
      </c>
      <c r="I36" s="77">
        <v>10</v>
      </c>
      <c r="J36" s="77">
        <v>0.95</v>
      </c>
      <c r="K36" s="77">
        <v>10</v>
      </c>
      <c r="L36" s="77">
        <v>10</v>
      </c>
      <c r="M36" s="77">
        <v>9</v>
      </c>
      <c r="N36" s="77">
        <v>9.67</v>
      </c>
      <c r="O36" s="77">
        <v>8.67</v>
      </c>
      <c r="P36" s="77">
        <v>10</v>
      </c>
      <c r="Q36" s="79">
        <v>9.9</v>
      </c>
      <c r="R36" s="79">
        <v>20</v>
      </c>
      <c r="S36" s="77">
        <v>4</v>
      </c>
      <c r="T36" s="77">
        <v>15</v>
      </c>
      <c r="U36" s="79">
        <v>19</v>
      </c>
      <c r="V36" s="82">
        <v>58.79</v>
      </c>
      <c r="W36" s="76" t="s">
        <v>323</v>
      </c>
    </row>
    <row r="37" spans="1:23" x14ac:dyDescent="0.3">
      <c r="A37" s="76" t="s">
        <v>179</v>
      </c>
      <c r="B37" s="76" t="s">
        <v>178</v>
      </c>
      <c r="C37" s="76" t="s">
        <v>391</v>
      </c>
      <c r="D37" s="76" t="s">
        <v>178</v>
      </c>
      <c r="E37" s="76"/>
      <c r="F37" s="76" t="s">
        <v>392</v>
      </c>
      <c r="G37" s="77">
        <v>9.33</v>
      </c>
      <c r="H37" s="77">
        <v>10</v>
      </c>
      <c r="I37" s="77">
        <v>10</v>
      </c>
      <c r="J37" s="76" t="s">
        <v>80</v>
      </c>
      <c r="K37" s="77">
        <v>10</v>
      </c>
      <c r="L37" s="77">
        <v>9</v>
      </c>
      <c r="M37" s="77">
        <v>9.5</v>
      </c>
      <c r="N37" s="77">
        <v>9.67</v>
      </c>
      <c r="O37" s="77">
        <v>8.5</v>
      </c>
      <c r="P37" s="77">
        <v>10</v>
      </c>
      <c r="Q37" s="79">
        <v>9.69</v>
      </c>
      <c r="R37" s="79">
        <v>14</v>
      </c>
      <c r="S37" s="77">
        <v>4.17</v>
      </c>
      <c r="T37" s="77">
        <v>14</v>
      </c>
      <c r="U37" s="79">
        <v>18.170000000000002</v>
      </c>
      <c r="V37" s="82">
        <v>51.54</v>
      </c>
      <c r="W37" s="76" t="s">
        <v>323</v>
      </c>
    </row>
    <row r="38" spans="1:23" x14ac:dyDescent="0.3">
      <c r="A38" s="76" t="s">
        <v>181</v>
      </c>
      <c r="B38" s="76" t="s">
        <v>180</v>
      </c>
      <c r="C38" s="76" t="s">
        <v>393</v>
      </c>
      <c r="D38" s="76" t="s">
        <v>180</v>
      </c>
      <c r="E38" s="76"/>
      <c r="F38" s="76" t="s">
        <v>394</v>
      </c>
      <c r="G38" s="77">
        <v>10</v>
      </c>
      <c r="H38" s="77">
        <v>10</v>
      </c>
      <c r="I38" s="77">
        <v>8.5</v>
      </c>
      <c r="J38" s="77">
        <v>0.92</v>
      </c>
      <c r="K38" s="77">
        <v>10</v>
      </c>
      <c r="L38" s="77">
        <v>9</v>
      </c>
      <c r="M38" s="77">
        <v>8.5</v>
      </c>
      <c r="N38" s="77">
        <v>10</v>
      </c>
      <c r="O38" s="77">
        <v>10</v>
      </c>
      <c r="P38" s="77">
        <v>10</v>
      </c>
      <c r="Q38" s="79">
        <v>9.77</v>
      </c>
      <c r="R38" s="79">
        <v>15</v>
      </c>
      <c r="S38" s="77">
        <v>2.83</v>
      </c>
      <c r="T38" s="77">
        <v>12</v>
      </c>
      <c r="U38" s="79">
        <v>14.83</v>
      </c>
      <c r="V38" s="82">
        <v>49.38</v>
      </c>
      <c r="W38" s="76" t="s">
        <v>323</v>
      </c>
    </row>
    <row r="39" spans="1:23" x14ac:dyDescent="0.3">
      <c r="A39" s="76" t="s">
        <v>183</v>
      </c>
      <c r="B39" s="76" t="s">
        <v>182</v>
      </c>
      <c r="C39" s="76" t="s">
        <v>395</v>
      </c>
      <c r="D39" s="76" t="s">
        <v>182</v>
      </c>
      <c r="E39" s="76"/>
      <c r="F39" s="76" t="s">
        <v>396</v>
      </c>
      <c r="G39" s="77">
        <v>10</v>
      </c>
      <c r="H39" s="77">
        <v>10</v>
      </c>
      <c r="I39" s="77">
        <v>9</v>
      </c>
      <c r="J39" s="77">
        <v>0.89</v>
      </c>
      <c r="K39" s="77">
        <v>10</v>
      </c>
      <c r="L39" s="77">
        <v>9</v>
      </c>
      <c r="M39" s="77">
        <v>9</v>
      </c>
      <c r="N39" s="77">
        <v>10</v>
      </c>
      <c r="O39" s="77">
        <v>10</v>
      </c>
      <c r="P39" s="77">
        <v>10</v>
      </c>
      <c r="Q39" s="79">
        <v>9.75</v>
      </c>
      <c r="R39" s="79">
        <v>19</v>
      </c>
      <c r="S39" s="77">
        <v>2.83</v>
      </c>
      <c r="T39" s="77">
        <v>12</v>
      </c>
      <c r="U39" s="79">
        <v>14.83</v>
      </c>
      <c r="V39" s="82">
        <v>53.33</v>
      </c>
      <c r="W39" s="76" t="s">
        <v>323</v>
      </c>
    </row>
    <row r="40" spans="1:23" x14ac:dyDescent="0.3">
      <c r="A40" s="76" t="s">
        <v>185</v>
      </c>
      <c r="B40" s="76" t="s">
        <v>184</v>
      </c>
      <c r="C40" s="76" t="s">
        <v>397</v>
      </c>
      <c r="D40" s="76" t="s">
        <v>184</v>
      </c>
      <c r="E40" s="76"/>
      <c r="F40" s="76" t="s">
        <v>398</v>
      </c>
      <c r="G40" s="77">
        <v>10</v>
      </c>
      <c r="H40" s="77">
        <v>9.5</v>
      </c>
      <c r="I40" s="77">
        <v>8.5</v>
      </c>
      <c r="J40" s="77">
        <v>0.92</v>
      </c>
      <c r="K40" s="76" t="s">
        <v>80</v>
      </c>
      <c r="L40" s="77">
        <v>9</v>
      </c>
      <c r="M40" s="77">
        <v>9.5</v>
      </c>
      <c r="N40" s="77">
        <v>10</v>
      </c>
      <c r="O40" s="77">
        <v>10</v>
      </c>
      <c r="P40" s="77">
        <v>10</v>
      </c>
      <c r="Q40" s="79">
        <v>9.65</v>
      </c>
      <c r="R40" s="79">
        <v>19</v>
      </c>
      <c r="S40" s="77">
        <v>4</v>
      </c>
      <c r="T40" s="77">
        <v>13.13</v>
      </c>
      <c r="U40" s="79">
        <v>17.13</v>
      </c>
      <c r="V40" s="82">
        <v>55.42</v>
      </c>
      <c r="W40" s="76" t="s">
        <v>323</v>
      </c>
    </row>
    <row r="41" spans="1:23" x14ac:dyDescent="0.3">
      <c r="A41" s="76" t="s">
        <v>187</v>
      </c>
      <c r="B41" s="76" t="s">
        <v>186</v>
      </c>
      <c r="C41" s="76" t="s">
        <v>399</v>
      </c>
      <c r="D41" s="76" t="s">
        <v>186</v>
      </c>
      <c r="E41" s="76"/>
      <c r="F41" s="76" t="s">
        <v>400</v>
      </c>
      <c r="G41" s="77">
        <v>10</v>
      </c>
      <c r="H41" s="77">
        <v>10</v>
      </c>
      <c r="I41" s="77">
        <v>8.5</v>
      </c>
      <c r="J41" s="77">
        <v>0.95</v>
      </c>
      <c r="K41" s="77">
        <v>10</v>
      </c>
      <c r="L41" s="77">
        <v>10</v>
      </c>
      <c r="M41" s="77">
        <v>10</v>
      </c>
      <c r="N41" s="77">
        <v>10</v>
      </c>
      <c r="O41" s="77">
        <v>10</v>
      </c>
      <c r="P41" s="77">
        <v>10</v>
      </c>
      <c r="Q41" s="79">
        <v>10</v>
      </c>
      <c r="R41" s="79">
        <v>19</v>
      </c>
      <c r="S41" s="77">
        <v>4</v>
      </c>
      <c r="T41" s="77">
        <v>11</v>
      </c>
      <c r="U41" s="79">
        <v>15</v>
      </c>
      <c r="V41" s="82">
        <v>54</v>
      </c>
      <c r="W41" s="76" t="s">
        <v>323</v>
      </c>
    </row>
    <row r="42" spans="1:23" x14ac:dyDescent="0.3">
      <c r="A42" s="76" t="s">
        <v>189</v>
      </c>
      <c r="B42" s="76" t="s">
        <v>188</v>
      </c>
      <c r="C42" s="76" t="s">
        <v>401</v>
      </c>
      <c r="D42" s="76" t="s">
        <v>188</v>
      </c>
      <c r="E42" s="76"/>
      <c r="F42" s="76" t="s">
        <v>402</v>
      </c>
      <c r="G42" s="77">
        <v>10</v>
      </c>
      <c r="H42" s="77">
        <v>10</v>
      </c>
      <c r="I42" s="77">
        <v>10</v>
      </c>
      <c r="J42" s="77">
        <v>1</v>
      </c>
      <c r="K42" s="77">
        <v>10</v>
      </c>
      <c r="L42" s="77">
        <v>10</v>
      </c>
      <c r="M42" s="77">
        <v>9</v>
      </c>
      <c r="N42" s="77">
        <v>9.67</v>
      </c>
      <c r="O42" s="77">
        <v>10</v>
      </c>
      <c r="P42" s="77">
        <v>10</v>
      </c>
      <c r="Q42" s="79">
        <v>10</v>
      </c>
      <c r="R42" s="79">
        <v>17</v>
      </c>
      <c r="S42" s="77">
        <v>2.83</v>
      </c>
      <c r="T42" s="77">
        <v>12.13</v>
      </c>
      <c r="U42" s="79">
        <v>14.96</v>
      </c>
      <c r="V42" s="82">
        <v>51.96</v>
      </c>
      <c r="W42" s="76" t="s">
        <v>323</v>
      </c>
    </row>
    <row r="43" spans="1:23" x14ac:dyDescent="0.3">
      <c r="A43" s="76" t="s">
        <v>191</v>
      </c>
      <c r="B43" s="76" t="s">
        <v>190</v>
      </c>
      <c r="C43" s="76" t="s">
        <v>403</v>
      </c>
      <c r="D43" s="76" t="s">
        <v>190</v>
      </c>
      <c r="E43" s="76"/>
      <c r="F43" s="76" t="s">
        <v>404</v>
      </c>
      <c r="G43" s="77">
        <v>10</v>
      </c>
      <c r="H43" s="77">
        <v>10</v>
      </c>
      <c r="I43" s="77">
        <v>10</v>
      </c>
      <c r="J43" s="77">
        <v>1</v>
      </c>
      <c r="K43" s="77">
        <v>10</v>
      </c>
      <c r="L43" s="77">
        <v>9</v>
      </c>
      <c r="M43" s="77">
        <v>9</v>
      </c>
      <c r="N43" s="77">
        <v>9.33</v>
      </c>
      <c r="O43" s="77">
        <v>8.67</v>
      </c>
      <c r="P43" s="77">
        <v>10</v>
      </c>
      <c r="Q43" s="79">
        <v>9.7899999999999991</v>
      </c>
      <c r="R43" s="79">
        <v>20</v>
      </c>
      <c r="S43" s="77">
        <v>3.17</v>
      </c>
      <c r="T43" s="77">
        <v>12.13</v>
      </c>
      <c r="U43" s="79">
        <v>15.29</v>
      </c>
      <c r="V43" s="82">
        <v>54.88</v>
      </c>
      <c r="W43" s="76" t="s">
        <v>323</v>
      </c>
    </row>
    <row r="44" spans="1:23" x14ac:dyDescent="0.3">
      <c r="A44" s="76" t="s">
        <v>193</v>
      </c>
      <c r="B44" s="76" t="s">
        <v>192</v>
      </c>
      <c r="C44" s="76" t="s">
        <v>405</v>
      </c>
      <c r="D44" s="76" t="s">
        <v>192</v>
      </c>
      <c r="E44" s="76"/>
      <c r="F44" s="76" t="s">
        <v>406</v>
      </c>
      <c r="G44" s="77">
        <v>9.33</v>
      </c>
      <c r="H44" s="77">
        <v>10</v>
      </c>
      <c r="I44" s="77">
        <v>10</v>
      </c>
      <c r="J44" s="77">
        <v>0.95</v>
      </c>
      <c r="K44" s="77">
        <v>10</v>
      </c>
      <c r="L44" s="77">
        <v>10</v>
      </c>
      <c r="M44" s="77">
        <v>9</v>
      </c>
      <c r="N44" s="77">
        <v>9.67</v>
      </c>
      <c r="O44" s="77">
        <v>10</v>
      </c>
      <c r="P44" s="77">
        <v>10</v>
      </c>
      <c r="Q44" s="79">
        <v>9.9</v>
      </c>
      <c r="R44" s="79">
        <v>18</v>
      </c>
      <c r="S44" s="77">
        <v>4</v>
      </c>
      <c r="T44" s="77">
        <v>15</v>
      </c>
      <c r="U44" s="79">
        <v>19</v>
      </c>
      <c r="V44" s="82">
        <v>56.79</v>
      </c>
      <c r="W44" s="76" t="s">
        <v>323</v>
      </c>
    </row>
    <row r="45" spans="1:23" x14ac:dyDescent="0.3">
      <c r="A45" s="76" t="s">
        <v>195</v>
      </c>
      <c r="B45" s="76" t="s">
        <v>194</v>
      </c>
      <c r="C45" s="76" t="s">
        <v>407</v>
      </c>
      <c r="D45" s="76" t="s">
        <v>194</v>
      </c>
      <c r="E45" s="76"/>
      <c r="F45" s="76" t="s">
        <v>408</v>
      </c>
      <c r="G45" s="76" t="s">
        <v>80</v>
      </c>
      <c r="H45" s="77">
        <v>10</v>
      </c>
      <c r="I45" s="77">
        <v>8.5</v>
      </c>
      <c r="J45" s="77">
        <v>0.8</v>
      </c>
      <c r="K45" s="76" t="s">
        <v>80</v>
      </c>
      <c r="L45" s="77">
        <v>8.5</v>
      </c>
      <c r="M45" s="77">
        <v>9</v>
      </c>
      <c r="N45" s="77">
        <v>9.67</v>
      </c>
      <c r="O45" s="77">
        <v>10</v>
      </c>
      <c r="P45" s="77">
        <v>8.7200000000000006</v>
      </c>
      <c r="Q45" s="79">
        <v>9.0500000000000007</v>
      </c>
      <c r="R45" s="79">
        <v>19</v>
      </c>
      <c r="S45" s="77">
        <v>2.83</v>
      </c>
      <c r="T45" s="77">
        <v>12.5</v>
      </c>
      <c r="U45" s="79">
        <v>15.33</v>
      </c>
      <c r="V45" s="82">
        <v>52.43</v>
      </c>
      <c r="W45" s="76" t="s">
        <v>323</v>
      </c>
    </row>
    <row r="46" spans="1:23" x14ac:dyDescent="0.3">
      <c r="A46" s="76" t="s">
        <v>197</v>
      </c>
      <c r="B46" s="76" t="s">
        <v>196</v>
      </c>
      <c r="C46" s="76" t="s">
        <v>409</v>
      </c>
      <c r="D46" s="76" t="s">
        <v>196</v>
      </c>
      <c r="E46" s="76"/>
      <c r="F46" s="76" t="s">
        <v>410</v>
      </c>
      <c r="G46" s="77">
        <v>10</v>
      </c>
      <c r="H46" s="77">
        <v>10</v>
      </c>
      <c r="I46" s="77">
        <v>10</v>
      </c>
      <c r="J46" s="77">
        <v>1</v>
      </c>
      <c r="K46" s="77">
        <v>10</v>
      </c>
      <c r="L46" s="77">
        <v>10</v>
      </c>
      <c r="M46" s="77">
        <v>9</v>
      </c>
      <c r="N46" s="77">
        <v>10</v>
      </c>
      <c r="O46" s="77">
        <v>8.5</v>
      </c>
      <c r="P46" s="77">
        <v>10</v>
      </c>
      <c r="Q46" s="79">
        <v>10</v>
      </c>
      <c r="R46" s="79">
        <v>20</v>
      </c>
      <c r="S46" s="77">
        <v>4</v>
      </c>
      <c r="T46" s="77">
        <v>10.5</v>
      </c>
      <c r="U46" s="79">
        <v>14.5</v>
      </c>
      <c r="V46" s="82">
        <v>54.5</v>
      </c>
      <c r="W46" s="76" t="s">
        <v>323</v>
      </c>
    </row>
    <row r="47" spans="1:23" x14ac:dyDescent="0.3">
      <c r="A47" s="76" t="s">
        <v>199</v>
      </c>
      <c r="B47" s="76" t="s">
        <v>198</v>
      </c>
      <c r="C47" s="76" t="s">
        <v>411</v>
      </c>
      <c r="D47" s="76" t="s">
        <v>198</v>
      </c>
      <c r="E47" s="76"/>
      <c r="F47" s="76" t="s">
        <v>412</v>
      </c>
      <c r="G47" s="77">
        <v>10</v>
      </c>
      <c r="H47" s="77">
        <v>10</v>
      </c>
      <c r="I47" s="77">
        <v>10</v>
      </c>
      <c r="J47" s="77">
        <v>0.92</v>
      </c>
      <c r="K47" s="77">
        <v>10</v>
      </c>
      <c r="L47" s="77">
        <v>9</v>
      </c>
      <c r="M47" s="77">
        <v>10</v>
      </c>
      <c r="N47" s="77">
        <v>9.67</v>
      </c>
      <c r="O47" s="77">
        <v>9.17</v>
      </c>
      <c r="P47" s="77">
        <v>10</v>
      </c>
      <c r="Q47" s="79">
        <v>9.85</v>
      </c>
      <c r="R47" s="79">
        <v>15</v>
      </c>
      <c r="S47" s="77">
        <v>3</v>
      </c>
      <c r="T47" s="77">
        <v>11.25</v>
      </c>
      <c r="U47" s="79">
        <v>14.25</v>
      </c>
      <c r="V47" s="82">
        <v>48.96</v>
      </c>
      <c r="W47" s="76" t="s">
        <v>323</v>
      </c>
    </row>
    <row r="48" spans="1:23" x14ac:dyDescent="0.3">
      <c r="A48" s="76" t="s">
        <v>201</v>
      </c>
      <c r="B48" s="76" t="s">
        <v>200</v>
      </c>
      <c r="C48" s="76" t="s">
        <v>413</v>
      </c>
      <c r="D48" s="76" t="s">
        <v>200</v>
      </c>
      <c r="E48" s="76"/>
      <c r="F48" s="76" t="s">
        <v>414</v>
      </c>
      <c r="G48" s="77">
        <v>9.33</v>
      </c>
      <c r="H48" s="77">
        <v>10</v>
      </c>
      <c r="I48" s="77">
        <v>10</v>
      </c>
      <c r="J48" s="77">
        <v>0.98</v>
      </c>
      <c r="K48" s="76" t="s">
        <v>80</v>
      </c>
      <c r="L48" s="77">
        <v>10</v>
      </c>
      <c r="M48" s="77">
        <v>9</v>
      </c>
      <c r="N48" s="77">
        <v>10</v>
      </c>
      <c r="O48" s="77">
        <v>8.5</v>
      </c>
      <c r="P48" s="77">
        <v>10</v>
      </c>
      <c r="Q48" s="79">
        <v>9.76</v>
      </c>
      <c r="R48" s="79">
        <v>19</v>
      </c>
      <c r="S48" s="77">
        <v>2.83</v>
      </c>
      <c r="T48" s="77">
        <v>12.5</v>
      </c>
      <c r="U48" s="79">
        <v>15.33</v>
      </c>
      <c r="V48" s="82">
        <v>53.85</v>
      </c>
      <c r="W48" s="76" t="s">
        <v>323</v>
      </c>
    </row>
    <row r="49" spans="1:23" x14ac:dyDescent="0.3">
      <c r="A49" s="76" t="s">
        <v>203</v>
      </c>
      <c r="B49" s="76" t="s">
        <v>202</v>
      </c>
      <c r="C49" s="76" t="s">
        <v>415</v>
      </c>
      <c r="D49" s="76" t="s">
        <v>202</v>
      </c>
      <c r="E49" s="76"/>
      <c r="F49" s="76" t="s">
        <v>416</v>
      </c>
      <c r="G49" s="77">
        <v>10</v>
      </c>
      <c r="H49" s="77">
        <v>10</v>
      </c>
      <c r="I49" s="77">
        <v>7.5</v>
      </c>
      <c r="J49" s="77">
        <v>1</v>
      </c>
      <c r="K49" s="77">
        <v>10</v>
      </c>
      <c r="L49" s="77">
        <v>10</v>
      </c>
      <c r="M49" s="77">
        <v>9</v>
      </c>
      <c r="N49" s="77">
        <v>9.67</v>
      </c>
      <c r="O49" s="77">
        <v>10</v>
      </c>
      <c r="P49" s="77">
        <v>10</v>
      </c>
      <c r="Q49" s="79">
        <v>9.9600000000000009</v>
      </c>
      <c r="R49" s="79">
        <v>18</v>
      </c>
      <c r="S49" s="77">
        <v>2.67</v>
      </c>
      <c r="T49" s="77">
        <v>13.5</v>
      </c>
      <c r="U49" s="79">
        <v>16.170000000000002</v>
      </c>
      <c r="V49" s="82">
        <v>54.08</v>
      </c>
      <c r="W49" s="76" t="s">
        <v>323</v>
      </c>
    </row>
    <row r="50" spans="1:23" x14ac:dyDescent="0.3">
      <c r="A50" s="76" t="s">
        <v>205</v>
      </c>
      <c r="B50" s="76" t="s">
        <v>204</v>
      </c>
      <c r="C50" s="76" t="s">
        <v>417</v>
      </c>
      <c r="D50" s="76" t="s">
        <v>204</v>
      </c>
      <c r="E50" s="76"/>
      <c r="F50" s="76" t="s">
        <v>418</v>
      </c>
      <c r="G50" s="76" t="s">
        <v>80</v>
      </c>
      <c r="H50" s="77">
        <v>10</v>
      </c>
      <c r="I50" s="77">
        <v>10</v>
      </c>
      <c r="J50" s="77">
        <v>0.97</v>
      </c>
      <c r="K50" s="77">
        <v>10</v>
      </c>
      <c r="L50" s="77">
        <v>10</v>
      </c>
      <c r="M50" s="77">
        <v>9.5</v>
      </c>
      <c r="N50" s="77">
        <v>10</v>
      </c>
      <c r="O50" s="77">
        <v>9.17</v>
      </c>
      <c r="P50" s="77">
        <v>10</v>
      </c>
      <c r="Q50" s="79">
        <v>9.9</v>
      </c>
      <c r="R50" s="79">
        <v>17</v>
      </c>
      <c r="S50" s="77">
        <v>3.33</v>
      </c>
      <c r="T50" s="77">
        <v>12.5</v>
      </c>
      <c r="U50" s="79">
        <v>15.83</v>
      </c>
      <c r="V50" s="82">
        <v>52.63</v>
      </c>
      <c r="W50" s="76" t="s">
        <v>323</v>
      </c>
    </row>
    <row r="51" spans="1:23" x14ac:dyDescent="0.3">
      <c r="A51" s="76" t="s">
        <v>207</v>
      </c>
      <c r="B51" s="76" t="s">
        <v>206</v>
      </c>
      <c r="C51" s="76" t="s">
        <v>419</v>
      </c>
      <c r="D51" s="76" t="s">
        <v>206</v>
      </c>
      <c r="E51" s="76"/>
      <c r="F51" s="76" t="s">
        <v>420</v>
      </c>
      <c r="G51" s="76" t="s">
        <v>80</v>
      </c>
      <c r="H51" s="77">
        <v>7.5</v>
      </c>
      <c r="I51" s="77">
        <v>8</v>
      </c>
      <c r="J51" s="77">
        <v>0.95</v>
      </c>
      <c r="K51" s="77">
        <v>9</v>
      </c>
      <c r="L51" s="77">
        <v>10</v>
      </c>
      <c r="M51" s="77">
        <v>9</v>
      </c>
      <c r="N51" s="77">
        <v>9.67</v>
      </c>
      <c r="O51" s="77">
        <v>9.17</v>
      </c>
      <c r="P51" s="77">
        <v>10</v>
      </c>
      <c r="Q51" s="79">
        <v>9.2899999999999991</v>
      </c>
      <c r="R51" s="79">
        <v>11</v>
      </c>
      <c r="S51" s="77">
        <v>4.33</v>
      </c>
      <c r="T51" s="77">
        <v>9.3800000000000008</v>
      </c>
      <c r="U51" s="79">
        <v>13.71</v>
      </c>
      <c r="V51" s="82">
        <v>43.29</v>
      </c>
      <c r="W51" s="76" t="s">
        <v>323</v>
      </c>
    </row>
    <row r="52" spans="1:23" x14ac:dyDescent="0.3">
      <c r="A52" s="76" t="s">
        <v>209</v>
      </c>
      <c r="B52" s="76" t="s">
        <v>208</v>
      </c>
      <c r="C52" s="76" t="s">
        <v>421</v>
      </c>
      <c r="D52" s="76" t="s">
        <v>208</v>
      </c>
      <c r="E52" s="76"/>
      <c r="F52" s="76" t="s">
        <v>422</v>
      </c>
      <c r="G52" s="77">
        <v>9.33</v>
      </c>
      <c r="H52" s="77">
        <v>10</v>
      </c>
      <c r="I52" s="77">
        <v>8.5</v>
      </c>
      <c r="J52" s="77">
        <v>0.98</v>
      </c>
      <c r="K52" s="77">
        <v>10</v>
      </c>
      <c r="L52" s="77">
        <v>10</v>
      </c>
      <c r="M52" s="77">
        <v>10</v>
      </c>
      <c r="N52" s="77">
        <v>10</v>
      </c>
      <c r="O52" s="77">
        <v>8.5</v>
      </c>
      <c r="P52" s="77">
        <v>10</v>
      </c>
      <c r="Q52" s="79">
        <v>9.89</v>
      </c>
      <c r="R52" s="79">
        <v>19</v>
      </c>
      <c r="S52" s="77">
        <v>2.83</v>
      </c>
      <c r="T52" s="77">
        <v>12.5</v>
      </c>
      <c r="U52" s="79">
        <v>15.33</v>
      </c>
      <c r="V52" s="82">
        <v>54.1</v>
      </c>
      <c r="W52" s="76" t="s">
        <v>323</v>
      </c>
    </row>
    <row r="53" spans="1:23" x14ac:dyDescent="0.3">
      <c r="A53" s="76" t="s">
        <v>211</v>
      </c>
      <c r="B53" s="76" t="s">
        <v>210</v>
      </c>
      <c r="C53" s="76" t="s">
        <v>423</v>
      </c>
      <c r="D53" s="76" t="s">
        <v>210</v>
      </c>
      <c r="E53" s="76"/>
      <c r="F53" s="76" t="s">
        <v>424</v>
      </c>
      <c r="G53" s="76" t="s">
        <v>80</v>
      </c>
      <c r="H53" s="77">
        <v>9.5</v>
      </c>
      <c r="I53" s="77">
        <v>8.5</v>
      </c>
      <c r="J53" s="76" t="s">
        <v>80</v>
      </c>
      <c r="K53" s="77">
        <v>9</v>
      </c>
      <c r="L53" s="77">
        <v>3</v>
      </c>
      <c r="M53" s="76" t="s">
        <v>80</v>
      </c>
      <c r="N53" s="76" t="s">
        <v>80</v>
      </c>
      <c r="O53" s="77">
        <v>8.5</v>
      </c>
      <c r="P53" s="77">
        <v>10</v>
      </c>
      <c r="Q53" s="79">
        <v>6.06</v>
      </c>
      <c r="R53" s="79">
        <v>13</v>
      </c>
      <c r="S53" s="77">
        <v>2.67</v>
      </c>
      <c r="T53" s="77">
        <v>8.8800000000000008</v>
      </c>
      <c r="U53" s="79">
        <v>11.54</v>
      </c>
      <c r="V53" s="82">
        <v>36.67</v>
      </c>
      <c r="W53" s="76" t="s">
        <v>323</v>
      </c>
    </row>
    <row r="54" spans="1:23" x14ac:dyDescent="0.3">
      <c r="A54" s="76" t="s">
        <v>213</v>
      </c>
      <c r="B54" s="76" t="s">
        <v>212</v>
      </c>
      <c r="C54" s="76" t="s">
        <v>425</v>
      </c>
      <c r="D54" s="76" t="s">
        <v>212</v>
      </c>
      <c r="E54" s="76"/>
      <c r="F54" s="76" t="s">
        <v>426</v>
      </c>
      <c r="G54" s="77">
        <v>10</v>
      </c>
      <c r="H54" s="77">
        <v>10</v>
      </c>
      <c r="I54" s="77">
        <v>9</v>
      </c>
      <c r="J54" s="77">
        <v>0.92</v>
      </c>
      <c r="K54" s="77">
        <v>10</v>
      </c>
      <c r="L54" s="77">
        <v>9</v>
      </c>
      <c r="M54" s="77">
        <v>9.5</v>
      </c>
      <c r="N54" s="77">
        <v>9.67</v>
      </c>
      <c r="O54" s="77">
        <v>8</v>
      </c>
      <c r="P54" s="77">
        <v>10</v>
      </c>
      <c r="Q54" s="79">
        <v>9.67</v>
      </c>
      <c r="R54" s="79">
        <v>15</v>
      </c>
      <c r="S54" s="77">
        <v>3.17</v>
      </c>
      <c r="T54" s="77">
        <v>8.25</v>
      </c>
      <c r="U54" s="79">
        <v>11.42</v>
      </c>
      <c r="V54" s="82">
        <v>45.75</v>
      </c>
      <c r="W54" s="76" t="s">
        <v>323</v>
      </c>
    </row>
    <row r="55" spans="1:23" x14ac:dyDescent="0.3">
      <c r="A55" s="76" t="s">
        <v>215</v>
      </c>
      <c r="B55" s="76" t="s">
        <v>214</v>
      </c>
      <c r="C55" s="76" t="s">
        <v>427</v>
      </c>
      <c r="D55" s="76" t="s">
        <v>214</v>
      </c>
      <c r="E55" s="76"/>
      <c r="F55" s="76" t="s">
        <v>428</v>
      </c>
      <c r="G55" s="77">
        <v>10</v>
      </c>
      <c r="H55" s="77">
        <v>10</v>
      </c>
      <c r="I55" s="77">
        <v>9</v>
      </c>
      <c r="J55" s="77">
        <v>0.95</v>
      </c>
      <c r="K55" s="77">
        <v>10</v>
      </c>
      <c r="L55" s="77">
        <v>9</v>
      </c>
      <c r="M55" s="77">
        <v>10</v>
      </c>
      <c r="N55" s="77">
        <v>10</v>
      </c>
      <c r="O55" s="77">
        <v>10</v>
      </c>
      <c r="P55" s="77">
        <v>10</v>
      </c>
      <c r="Q55" s="79">
        <v>9.94</v>
      </c>
      <c r="R55" s="79">
        <v>19</v>
      </c>
      <c r="S55" s="77">
        <v>3.83</v>
      </c>
      <c r="T55" s="77">
        <v>11.5</v>
      </c>
      <c r="U55" s="79">
        <v>15.33</v>
      </c>
      <c r="V55" s="82">
        <v>54.21</v>
      </c>
      <c r="W55" s="76" t="s">
        <v>323</v>
      </c>
    </row>
    <row r="56" spans="1:23" x14ac:dyDescent="0.3">
      <c r="A56" s="76" t="s">
        <v>217</v>
      </c>
      <c r="B56" s="76" t="s">
        <v>216</v>
      </c>
      <c r="C56" s="76" t="s">
        <v>429</v>
      </c>
      <c r="D56" s="76" t="s">
        <v>216</v>
      </c>
      <c r="E56" s="76"/>
      <c r="F56" s="76" t="s">
        <v>430</v>
      </c>
      <c r="G56" s="77">
        <v>10</v>
      </c>
      <c r="H56" s="77">
        <v>10</v>
      </c>
      <c r="I56" s="77">
        <v>9.5</v>
      </c>
      <c r="J56" s="77">
        <v>0.95</v>
      </c>
      <c r="K56" s="77">
        <v>10</v>
      </c>
      <c r="L56" s="77">
        <v>8.5</v>
      </c>
      <c r="M56" s="77">
        <v>9</v>
      </c>
      <c r="N56" s="77">
        <v>9.67</v>
      </c>
      <c r="O56" s="77">
        <v>9.17</v>
      </c>
      <c r="P56" s="77">
        <v>10</v>
      </c>
      <c r="Q56" s="79">
        <v>9.73</v>
      </c>
      <c r="R56" s="79">
        <v>15</v>
      </c>
      <c r="S56" s="77">
        <v>4.33</v>
      </c>
      <c r="T56" s="77">
        <v>11.38</v>
      </c>
      <c r="U56" s="79">
        <v>15.71</v>
      </c>
      <c r="V56" s="82">
        <v>50.17</v>
      </c>
      <c r="W56" s="76" t="s">
        <v>323</v>
      </c>
    </row>
    <row r="57" spans="1:23" x14ac:dyDescent="0.3">
      <c r="A57" s="76" t="s">
        <v>219</v>
      </c>
      <c r="B57" s="76" t="s">
        <v>218</v>
      </c>
      <c r="C57" s="76" t="s">
        <v>431</v>
      </c>
      <c r="D57" s="76" t="s">
        <v>218</v>
      </c>
      <c r="E57" s="76"/>
      <c r="F57" s="76" t="s">
        <v>432</v>
      </c>
      <c r="G57" s="77">
        <v>10</v>
      </c>
      <c r="H57" s="77">
        <v>10</v>
      </c>
      <c r="I57" s="76" t="s">
        <v>80</v>
      </c>
      <c r="J57" s="77">
        <v>0.92</v>
      </c>
      <c r="K57" s="77">
        <v>10</v>
      </c>
      <c r="L57" s="77">
        <v>10</v>
      </c>
      <c r="M57" s="77">
        <v>9.5</v>
      </c>
      <c r="N57" s="77">
        <v>10</v>
      </c>
      <c r="O57" s="77">
        <v>9.17</v>
      </c>
      <c r="P57" s="77">
        <v>10</v>
      </c>
      <c r="Q57" s="79">
        <v>9.83</v>
      </c>
      <c r="R57" s="79">
        <v>19</v>
      </c>
      <c r="S57" s="77">
        <v>3</v>
      </c>
      <c r="T57" s="77">
        <v>10.63</v>
      </c>
      <c r="U57" s="79">
        <v>13.63</v>
      </c>
      <c r="V57" s="82">
        <v>52.29</v>
      </c>
      <c r="W57" s="76" t="s">
        <v>323</v>
      </c>
    </row>
    <row r="58" spans="1:23" x14ac:dyDescent="0.3">
      <c r="A58" s="76" t="s">
        <v>221</v>
      </c>
      <c r="B58" s="76" t="s">
        <v>220</v>
      </c>
      <c r="C58" s="76" t="s">
        <v>433</v>
      </c>
      <c r="D58" s="76" t="s">
        <v>220</v>
      </c>
      <c r="E58" s="76"/>
      <c r="F58" s="76" t="s">
        <v>434</v>
      </c>
      <c r="G58" s="76" t="s">
        <v>80</v>
      </c>
      <c r="H58" s="77">
        <v>10</v>
      </c>
      <c r="I58" s="77">
        <v>7</v>
      </c>
      <c r="J58" s="76" t="s">
        <v>80</v>
      </c>
      <c r="K58" s="76" t="s">
        <v>80</v>
      </c>
      <c r="L58" s="77">
        <v>7.83</v>
      </c>
      <c r="M58" s="77">
        <v>9</v>
      </c>
      <c r="N58" s="77">
        <v>10</v>
      </c>
      <c r="O58" s="77">
        <v>8.67</v>
      </c>
      <c r="P58" s="77">
        <v>10</v>
      </c>
      <c r="Q58" s="79">
        <v>7.81</v>
      </c>
      <c r="R58" s="79">
        <v>11</v>
      </c>
      <c r="S58" s="77">
        <v>3.5</v>
      </c>
      <c r="T58" s="77">
        <v>8.75</v>
      </c>
      <c r="U58" s="79">
        <v>12.25</v>
      </c>
      <c r="V58" s="82">
        <v>38.880000000000003</v>
      </c>
      <c r="W58" s="76" t="s">
        <v>323</v>
      </c>
    </row>
    <row r="59" spans="1:23" x14ac:dyDescent="0.3">
      <c r="A59" s="76" t="s">
        <v>223</v>
      </c>
      <c r="B59" s="76" t="s">
        <v>222</v>
      </c>
      <c r="C59" s="76" t="s">
        <v>435</v>
      </c>
      <c r="D59" s="76" t="s">
        <v>222</v>
      </c>
      <c r="E59" s="76"/>
      <c r="F59" s="76" t="s">
        <v>436</v>
      </c>
      <c r="G59" s="77">
        <v>10</v>
      </c>
      <c r="H59" s="77">
        <v>10</v>
      </c>
      <c r="I59" s="77">
        <v>10</v>
      </c>
      <c r="J59" s="77">
        <v>1</v>
      </c>
      <c r="K59" s="77">
        <v>10</v>
      </c>
      <c r="L59" s="77">
        <v>10</v>
      </c>
      <c r="M59" s="77">
        <v>10</v>
      </c>
      <c r="N59" s="77">
        <v>10</v>
      </c>
      <c r="O59" s="77">
        <v>10</v>
      </c>
      <c r="P59" s="77">
        <v>10</v>
      </c>
      <c r="Q59" s="79">
        <v>10</v>
      </c>
      <c r="R59" s="79">
        <v>18</v>
      </c>
      <c r="S59" s="77">
        <v>4</v>
      </c>
      <c r="T59" s="77">
        <v>11</v>
      </c>
      <c r="U59" s="79">
        <v>15</v>
      </c>
      <c r="V59" s="82">
        <v>53</v>
      </c>
      <c r="W59" s="76" t="s">
        <v>323</v>
      </c>
    </row>
    <row r="60" spans="1:23" x14ac:dyDescent="0.3">
      <c r="A60" s="76" t="s">
        <v>225</v>
      </c>
      <c r="B60" s="76" t="s">
        <v>224</v>
      </c>
      <c r="C60" s="76" t="s">
        <v>437</v>
      </c>
      <c r="D60" s="76" t="s">
        <v>224</v>
      </c>
      <c r="E60" s="76"/>
      <c r="F60" s="76" t="s">
        <v>438</v>
      </c>
      <c r="G60" s="76" t="s">
        <v>80</v>
      </c>
      <c r="H60" s="77">
        <v>10</v>
      </c>
      <c r="I60" s="77">
        <v>10</v>
      </c>
      <c r="J60" s="77">
        <v>0.92</v>
      </c>
      <c r="K60" s="77">
        <v>10</v>
      </c>
      <c r="L60" s="77">
        <v>9</v>
      </c>
      <c r="M60" s="77">
        <v>9</v>
      </c>
      <c r="N60" s="77">
        <v>10</v>
      </c>
      <c r="O60" s="77">
        <v>8.67</v>
      </c>
      <c r="P60" s="77">
        <v>10</v>
      </c>
      <c r="Q60" s="79">
        <v>9.65</v>
      </c>
      <c r="R60" s="79">
        <v>17</v>
      </c>
      <c r="S60" s="77">
        <v>3.33</v>
      </c>
      <c r="T60" s="77">
        <v>12.5</v>
      </c>
      <c r="U60" s="79">
        <v>15.83</v>
      </c>
      <c r="V60" s="82">
        <v>52.13</v>
      </c>
      <c r="W60" s="76" t="s">
        <v>323</v>
      </c>
    </row>
    <row r="61" spans="1:23" x14ac:dyDescent="0.3">
      <c r="A61" s="76" t="s">
        <v>227</v>
      </c>
      <c r="B61" s="76" t="s">
        <v>226</v>
      </c>
      <c r="C61" s="76" t="s">
        <v>439</v>
      </c>
      <c r="D61" s="76" t="s">
        <v>226</v>
      </c>
      <c r="E61" s="76"/>
      <c r="F61" s="76" t="s">
        <v>440</v>
      </c>
      <c r="G61" s="77">
        <v>10</v>
      </c>
      <c r="H61" s="77">
        <v>10</v>
      </c>
      <c r="I61" s="77">
        <v>9</v>
      </c>
      <c r="J61" s="77">
        <v>0.92</v>
      </c>
      <c r="K61" s="77">
        <v>10</v>
      </c>
      <c r="L61" s="77">
        <v>8.5</v>
      </c>
      <c r="M61" s="77">
        <v>7.5</v>
      </c>
      <c r="N61" s="77">
        <v>9.67</v>
      </c>
      <c r="O61" s="77">
        <v>9</v>
      </c>
      <c r="P61" s="77">
        <v>10</v>
      </c>
      <c r="Q61" s="79">
        <v>9.6</v>
      </c>
      <c r="R61" s="79">
        <v>13</v>
      </c>
      <c r="S61" s="77">
        <v>4.17</v>
      </c>
      <c r="T61" s="77">
        <v>11.63</v>
      </c>
      <c r="U61" s="79">
        <v>15.79</v>
      </c>
      <c r="V61" s="82">
        <v>48</v>
      </c>
      <c r="W61" s="76" t="s">
        <v>323</v>
      </c>
    </row>
    <row r="62" spans="1:23" x14ac:dyDescent="0.3">
      <c r="A62" s="76" t="s">
        <v>229</v>
      </c>
      <c r="B62" s="76" t="s">
        <v>228</v>
      </c>
      <c r="C62" s="76" t="s">
        <v>441</v>
      </c>
      <c r="D62" s="76" t="s">
        <v>228</v>
      </c>
      <c r="E62" s="76"/>
      <c r="F62" s="76" t="s">
        <v>442</v>
      </c>
      <c r="G62" s="76" t="s">
        <v>80</v>
      </c>
      <c r="H62" s="77">
        <v>8.5</v>
      </c>
      <c r="I62" s="77">
        <v>10</v>
      </c>
      <c r="J62" s="77">
        <v>0.92</v>
      </c>
      <c r="K62" s="77">
        <v>10</v>
      </c>
      <c r="L62" s="77">
        <v>9</v>
      </c>
      <c r="M62" s="77">
        <v>9.5</v>
      </c>
      <c r="N62" s="77">
        <v>9.67</v>
      </c>
      <c r="O62" s="77">
        <v>8.17</v>
      </c>
      <c r="P62" s="77">
        <v>10</v>
      </c>
      <c r="Q62" s="79">
        <v>9.48</v>
      </c>
      <c r="R62" s="79">
        <v>19</v>
      </c>
      <c r="S62" s="77">
        <v>3.17</v>
      </c>
      <c r="T62" s="77">
        <v>12.75</v>
      </c>
      <c r="U62" s="79">
        <v>15.92</v>
      </c>
      <c r="V62" s="82">
        <v>53.88</v>
      </c>
      <c r="W62" s="76" t="s">
        <v>323</v>
      </c>
    </row>
    <row r="63" spans="1:23" x14ac:dyDescent="0.3">
      <c r="A63" s="76" t="s">
        <v>231</v>
      </c>
      <c r="B63" s="76" t="s">
        <v>230</v>
      </c>
      <c r="C63" s="76" t="s">
        <v>443</v>
      </c>
      <c r="D63" s="76" t="s">
        <v>230</v>
      </c>
      <c r="E63" s="76"/>
      <c r="F63" s="76" t="s">
        <v>444</v>
      </c>
      <c r="G63" s="77">
        <v>10</v>
      </c>
      <c r="H63" s="77">
        <v>10</v>
      </c>
      <c r="I63" s="77">
        <v>10</v>
      </c>
      <c r="J63" s="77">
        <v>1</v>
      </c>
      <c r="K63" s="77">
        <v>10</v>
      </c>
      <c r="L63" s="77">
        <v>10</v>
      </c>
      <c r="M63" s="77">
        <v>10</v>
      </c>
      <c r="N63" s="77">
        <v>10</v>
      </c>
      <c r="O63" s="77">
        <v>10</v>
      </c>
      <c r="P63" s="77">
        <v>10</v>
      </c>
      <c r="Q63" s="79">
        <v>10</v>
      </c>
      <c r="R63" s="79">
        <v>15</v>
      </c>
      <c r="S63" s="77">
        <v>2.67</v>
      </c>
      <c r="T63" s="77">
        <v>10.63</v>
      </c>
      <c r="U63" s="79">
        <v>13.29</v>
      </c>
      <c r="V63" s="82">
        <v>48.29</v>
      </c>
      <c r="W63" s="76" t="s">
        <v>323</v>
      </c>
    </row>
    <row r="64" spans="1:23" x14ac:dyDescent="0.3">
      <c r="A64" s="76" t="s">
        <v>233</v>
      </c>
      <c r="B64" s="76" t="s">
        <v>232</v>
      </c>
      <c r="C64" s="76" t="s">
        <v>445</v>
      </c>
      <c r="D64" s="76" t="s">
        <v>232</v>
      </c>
      <c r="E64" s="76"/>
      <c r="F64" s="76" t="s">
        <v>446</v>
      </c>
      <c r="G64" s="77">
        <v>10</v>
      </c>
      <c r="H64" s="77">
        <v>9.33</v>
      </c>
      <c r="I64" s="77">
        <v>8.5</v>
      </c>
      <c r="J64" s="77">
        <v>0.9</v>
      </c>
      <c r="K64" s="77">
        <v>0</v>
      </c>
      <c r="L64" s="77">
        <v>9</v>
      </c>
      <c r="M64" s="77">
        <v>9</v>
      </c>
      <c r="N64" s="77">
        <v>10</v>
      </c>
      <c r="O64" s="77">
        <v>8.17</v>
      </c>
      <c r="P64" s="77">
        <v>9.36</v>
      </c>
      <c r="Q64" s="79">
        <v>9.27</v>
      </c>
      <c r="R64" s="79">
        <v>15</v>
      </c>
      <c r="S64" s="77">
        <v>3</v>
      </c>
      <c r="T64" s="77">
        <v>9.5</v>
      </c>
      <c r="U64" s="79">
        <v>12.5</v>
      </c>
      <c r="V64" s="82">
        <v>46.05</v>
      </c>
      <c r="W64" s="76" t="s">
        <v>323</v>
      </c>
    </row>
    <row r="65" spans="1:23" x14ac:dyDescent="0.3">
      <c r="A65" s="76" t="s">
        <v>235</v>
      </c>
      <c r="B65" s="76" t="s">
        <v>234</v>
      </c>
      <c r="C65" s="76" t="s">
        <v>447</v>
      </c>
      <c r="D65" s="76" t="s">
        <v>234</v>
      </c>
      <c r="E65" s="76"/>
      <c r="F65" s="76" t="s">
        <v>448</v>
      </c>
      <c r="G65" s="77">
        <v>9.33</v>
      </c>
      <c r="H65" s="77">
        <v>10</v>
      </c>
      <c r="I65" s="77">
        <v>10</v>
      </c>
      <c r="J65" s="77">
        <v>0.95</v>
      </c>
      <c r="K65" s="77">
        <v>10</v>
      </c>
      <c r="L65" s="77">
        <v>9</v>
      </c>
      <c r="M65" s="77">
        <v>9</v>
      </c>
      <c r="N65" s="77">
        <v>9.67</v>
      </c>
      <c r="O65" s="77">
        <v>7.83</v>
      </c>
      <c r="P65" s="77">
        <v>10</v>
      </c>
      <c r="Q65" s="79">
        <v>9.69</v>
      </c>
      <c r="R65" s="79">
        <v>19</v>
      </c>
      <c r="S65" s="77">
        <v>4</v>
      </c>
      <c r="T65" s="77">
        <v>9.8800000000000008</v>
      </c>
      <c r="U65" s="79">
        <v>13.88</v>
      </c>
      <c r="V65" s="82">
        <v>52.25</v>
      </c>
      <c r="W65" s="76" t="s">
        <v>323</v>
      </c>
    </row>
    <row r="66" spans="1:23" x14ac:dyDescent="0.3">
      <c r="A66" s="76" t="s">
        <v>237</v>
      </c>
      <c r="B66" s="76" t="s">
        <v>236</v>
      </c>
      <c r="C66" s="76" t="s">
        <v>449</v>
      </c>
      <c r="D66" s="76" t="s">
        <v>236</v>
      </c>
      <c r="E66" s="76"/>
      <c r="F66" s="76" t="s">
        <v>450</v>
      </c>
      <c r="G66" s="77">
        <v>10</v>
      </c>
      <c r="H66" s="77">
        <v>10</v>
      </c>
      <c r="I66" s="77">
        <v>8.5</v>
      </c>
      <c r="J66" s="77">
        <v>1</v>
      </c>
      <c r="K66" s="77">
        <v>10</v>
      </c>
      <c r="L66" s="77">
        <v>10</v>
      </c>
      <c r="M66" s="77">
        <v>9</v>
      </c>
      <c r="N66" s="77">
        <v>10</v>
      </c>
      <c r="O66" s="77">
        <v>10</v>
      </c>
      <c r="P66" s="77">
        <v>10</v>
      </c>
      <c r="Q66" s="79">
        <v>10</v>
      </c>
      <c r="R66" s="79">
        <v>20</v>
      </c>
      <c r="S66" s="77">
        <v>4.17</v>
      </c>
      <c r="T66" s="77">
        <v>11.13</v>
      </c>
      <c r="U66" s="79">
        <v>15.29</v>
      </c>
      <c r="V66" s="82">
        <v>55.29</v>
      </c>
      <c r="W66" s="76" t="s">
        <v>323</v>
      </c>
    </row>
    <row r="67" spans="1:23" x14ac:dyDescent="0.3">
      <c r="A67" s="76" t="s">
        <v>239</v>
      </c>
      <c r="B67" s="76" t="s">
        <v>238</v>
      </c>
      <c r="C67" s="76" t="s">
        <v>451</v>
      </c>
      <c r="D67" s="76" t="s">
        <v>238</v>
      </c>
      <c r="E67" s="76" t="s">
        <v>100</v>
      </c>
      <c r="F67" s="76" t="s">
        <v>452</v>
      </c>
      <c r="G67" s="77">
        <v>6.8</v>
      </c>
      <c r="H67" s="77">
        <v>10</v>
      </c>
      <c r="I67" s="77">
        <v>10</v>
      </c>
      <c r="J67" s="76" t="s">
        <v>80</v>
      </c>
      <c r="K67" s="77">
        <v>10</v>
      </c>
      <c r="L67" s="77">
        <v>10</v>
      </c>
      <c r="M67" s="77">
        <v>9.5</v>
      </c>
      <c r="N67" s="77">
        <v>9.67</v>
      </c>
      <c r="O67" s="77">
        <v>9.17</v>
      </c>
      <c r="P67" s="77">
        <v>10</v>
      </c>
      <c r="Q67" s="79">
        <v>9.7899999999999991</v>
      </c>
      <c r="R67" s="79">
        <v>18</v>
      </c>
      <c r="S67" s="77">
        <v>3.83</v>
      </c>
      <c r="T67" s="77">
        <v>9.1300000000000008</v>
      </c>
      <c r="U67" s="79">
        <v>12.96</v>
      </c>
      <c r="V67" s="82">
        <v>50.54</v>
      </c>
      <c r="W67" s="76" t="s">
        <v>323</v>
      </c>
    </row>
    <row r="68" spans="1:23" x14ac:dyDescent="0.3">
      <c r="A68" s="76" t="s">
        <v>241</v>
      </c>
      <c r="B68" s="76" t="s">
        <v>240</v>
      </c>
      <c r="C68" s="76" t="s">
        <v>453</v>
      </c>
      <c r="D68" s="76" t="s">
        <v>240</v>
      </c>
      <c r="E68" s="76"/>
      <c r="F68" s="76" t="s">
        <v>454</v>
      </c>
      <c r="G68" s="76" t="s">
        <v>80</v>
      </c>
      <c r="H68" s="77">
        <v>9.5</v>
      </c>
      <c r="I68" s="77">
        <v>9</v>
      </c>
      <c r="J68" s="77">
        <v>0.82</v>
      </c>
      <c r="K68" s="77">
        <v>10</v>
      </c>
      <c r="L68" s="77">
        <v>9</v>
      </c>
      <c r="M68" s="77">
        <v>9</v>
      </c>
      <c r="N68" s="77">
        <v>10</v>
      </c>
      <c r="O68" s="76" t="s">
        <v>80</v>
      </c>
      <c r="P68" s="77">
        <v>10</v>
      </c>
      <c r="Q68" s="79">
        <v>9.33</v>
      </c>
      <c r="R68" s="79">
        <v>11</v>
      </c>
      <c r="S68" s="77">
        <v>2.83</v>
      </c>
      <c r="T68" s="77">
        <v>12.5</v>
      </c>
      <c r="U68" s="79">
        <v>15.33</v>
      </c>
      <c r="V68" s="82">
        <v>45</v>
      </c>
      <c r="W68" s="76" t="s">
        <v>323</v>
      </c>
    </row>
    <row r="69" spans="1:23" x14ac:dyDescent="0.3">
      <c r="A69" s="76" t="s">
        <v>243</v>
      </c>
      <c r="B69" s="76" t="s">
        <v>242</v>
      </c>
      <c r="C69" s="76" t="s">
        <v>455</v>
      </c>
      <c r="D69" s="76" t="s">
        <v>242</v>
      </c>
      <c r="E69" s="76"/>
      <c r="F69" s="76" t="s">
        <v>456</v>
      </c>
      <c r="G69" s="77">
        <v>10</v>
      </c>
      <c r="H69" s="77">
        <v>10</v>
      </c>
      <c r="I69" s="77">
        <v>10</v>
      </c>
      <c r="J69" s="77">
        <v>0.95</v>
      </c>
      <c r="K69" s="77">
        <v>10</v>
      </c>
      <c r="L69" s="77">
        <v>10</v>
      </c>
      <c r="M69" s="77">
        <v>10</v>
      </c>
      <c r="N69" s="77">
        <v>10</v>
      </c>
      <c r="O69" s="77">
        <v>10</v>
      </c>
      <c r="P69" s="77">
        <v>10</v>
      </c>
      <c r="Q69" s="79">
        <v>10</v>
      </c>
      <c r="R69" s="79">
        <v>16</v>
      </c>
      <c r="S69" s="77">
        <v>2</v>
      </c>
      <c r="T69" s="77">
        <v>10.25</v>
      </c>
      <c r="U69" s="79">
        <v>12.25</v>
      </c>
      <c r="V69" s="82">
        <v>48.25</v>
      </c>
      <c r="W69" s="76" t="s">
        <v>323</v>
      </c>
    </row>
    <row r="70" spans="1:23" x14ac:dyDescent="0.3">
      <c r="A70" s="76" t="s">
        <v>245</v>
      </c>
      <c r="B70" s="76" t="s">
        <v>244</v>
      </c>
      <c r="C70" s="76" t="s">
        <v>457</v>
      </c>
      <c r="D70" s="76" t="s">
        <v>244</v>
      </c>
      <c r="E70" s="76"/>
      <c r="F70" s="76" t="s">
        <v>458</v>
      </c>
      <c r="G70" s="76" t="s">
        <v>80</v>
      </c>
      <c r="H70" s="77">
        <v>10</v>
      </c>
      <c r="I70" s="77">
        <v>10</v>
      </c>
      <c r="J70" s="77">
        <v>1</v>
      </c>
      <c r="K70" s="77">
        <v>10</v>
      </c>
      <c r="L70" s="77">
        <v>10</v>
      </c>
      <c r="M70" s="77">
        <v>10</v>
      </c>
      <c r="N70" s="77">
        <v>10</v>
      </c>
      <c r="O70" s="77">
        <v>10</v>
      </c>
      <c r="P70" s="77">
        <v>10</v>
      </c>
      <c r="Q70" s="79">
        <v>10</v>
      </c>
      <c r="R70" s="79">
        <v>15</v>
      </c>
      <c r="S70" s="77">
        <v>3</v>
      </c>
      <c r="T70" s="77">
        <v>9.8800000000000008</v>
      </c>
      <c r="U70" s="79">
        <v>12.88</v>
      </c>
      <c r="V70" s="82">
        <v>47.88</v>
      </c>
      <c r="W70" s="76" t="s">
        <v>323</v>
      </c>
    </row>
    <row r="71" spans="1:23" x14ac:dyDescent="0.3">
      <c r="A71" s="76" t="s">
        <v>247</v>
      </c>
      <c r="B71" s="76" t="s">
        <v>246</v>
      </c>
      <c r="C71" s="76" t="s">
        <v>459</v>
      </c>
      <c r="D71" s="76" t="s">
        <v>246</v>
      </c>
      <c r="E71" s="76"/>
      <c r="F71" s="76" t="s">
        <v>460</v>
      </c>
      <c r="G71" s="77">
        <v>10</v>
      </c>
      <c r="H71" s="77">
        <v>10</v>
      </c>
      <c r="I71" s="77">
        <v>10</v>
      </c>
      <c r="J71" s="77">
        <v>0.9</v>
      </c>
      <c r="K71" s="77">
        <v>10</v>
      </c>
      <c r="L71" s="77">
        <v>10</v>
      </c>
      <c r="M71" s="77">
        <v>9.5</v>
      </c>
      <c r="N71" s="77">
        <v>10</v>
      </c>
      <c r="O71" s="76" t="s">
        <v>80</v>
      </c>
      <c r="P71" s="77">
        <v>10</v>
      </c>
      <c r="Q71" s="79">
        <v>9.94</v>
      </c>
      <c r="R71" s="79">
        <v>18</v>
      </c>
      <c r="S71" s="77">
        <v>3</v>
      </c>
      <c r="T71" s="77">
        <v>9.8800000000000008</v>
      </c>
      <c r="U71" s="79">
        <v>12.88</v>
      </c>
      <c r="V71" s="82">
        <v>50.75</v>
      </c>
      <c r="W71" s="76" t="s">
        <v>323</v>
      </c>
    </row>
    <row r="72" spans="1:23" x14ac:dyDescent="0.3">
      <c r="A72" s="76" t="s">
        <v>249</v>
      </c>
      <c r="B72" s="76" t="s">
        <v>248</v>
      </c>
      <c r="C72" s="76" t="s">
        <v>461</v>
      </c>
      <c r="D72" s="76" t="s">
        <v>248</v>
      </c>
      <c r="E72" s="76" t="s">
        <v>462</v>
      </c>
      <c r="F72" s="76" t="s">
        <v>463</v>
      </c>
      <c r="G72" s="76" t="s">
        <v>80</v>
      </c>
      <c r="H72" s="76" t="s">
        <v>80</v>
      </c>
      <c r="I72" s="77">
        <v>8.33</v>
      </c>
      <c r="J72" s="77">
        <v>1</v>
      </c>
      <c r="K72" s="77">
        <v>10</v>
      </c>
      <c r="L72" s="77">
        <v>10</v>
      </c>
      <c r="M72" s="77">
        <v>10</v>
      </c>
      <c r="N72" s="77">
        <v>9.67</v>
      </c>
      <c r="O72" s="77">
        <v>9.67</v>
      </c>
      <c r="P72" s="77">
        <v>10</v>
      </c>
      <c r="Q72" s="79">
        <v>9.7100000000000009</v>
      </c>
      <c r="R72" s="79">
        <v>18</v>
      </c>
      <c r="S72" s="77">
        <v>2.67</v>
      </c>
      <c r="T72" s="77">
        <v>9.6300000000000008</v>
      </c>
      <c r="U72" s="79">
        <v>12.29</v>
      </c>
      <c r="V72" s="82">
        <v>49.71</v>
      </c>
      <c r="W72" s="76" t="s">
        <v>323</v>
      </c>
    </row>
    <row r="73" spans="1:23" x14ac:dyDescent="0.3">
      <c r="A73" s="76" t="s">
        <v>251</v>
      </c>
      <c r="B73" s="76" t="s">
        <v>250</v>
      </c>
      <c r="C73" s="76" t="s">
        <v>464</v>
      </c>
      <c r="D73" s="76" t="s">
        <v>250</v>
      </c>
      <c r="E73" s="76"/>
      <c r="F73" s="76" t="s">
        <v>465</v>
      </c>
      <c r="G73" s="77">
        <v>10</v>
      </c>
      <c r="H73" s="77">
        <v>10</v>
      </c>
      <c r="I73" s="77">
        <v>8</v>
      </c>
      <c r="J73" s="77">
        <v>0.87</v>
      </c>
      <c r="K73" s="77">
        <v>10</v>
      </c>
      <c r="L73" s="77">
        <v>9</v>
      </c>
      <c r="M73" s="77">
        <v>9.5</v>
      </c>
      <c r="N73" s="77">
        <v>7</v>
      </c>
      <c r="O73" s="77">
        <v>8.67</v>
      </c>
      <c r="P73" s="77">
        <v>9.68</v>
      </c>
      <c r="Q73" s="79">
        <v>9.44</v>
      </c>
      <c r="R73" s="79">
        <v>12</v>
      </c>
      <c r="S73" s="77">
        <v>4</v>
      </c>
      <c r="T73" s="77">
        <v>10.88</v>
      </c>
      <c r="U73" s="79">
        <v>14.88</v>
      </c>
      <c r="V73" s="82">
        <v>45.75</v>
      </c>
      <c r="W73" s="76" t="s">
        <v>323</v>
      </c>
    </row>
    <row r="74" spans="1:23" x14ac:dyDescent="0.3">
      <c r="A74" s="76" t="s">
        <v>253</v>
      </c>
      <c r="B74" s="76" t="s">
        <v>252</v>
      </c>
      <c r="C74" s="76" t="s">
        <v>466</v>
      </c>
      <c r="D74" s="76" t="s">
        <v>252</v>
      </c>
      <c r="E74" s="76" t="s">
        <v>462</v>
      </c>
      <c r="F74" s="76" t="s">
        <v>467</v>
      </c>
      <c r="G74" s="77">
        <v>10</v>
      </c>
      <c r="H74" s="77">
        <v>9.5</v>
      </c>
      <c r="I74" s="77">
        <v>8.5</v>
      </c>
      <c r="J74" s="77">
        <v>0.85</v>
      </c>
      <c r="K74" s="76" t="s">
        <v>80</v>
      </c>
      <c r="L74" s="77">
        <v>8</v>
      </c>
      <c r="M74" s="77">
        <v>8</v>
      </c>
      <c r="N74" s="77">
        <v>9.33</v>
      </c>
      <c r="O74" s="77">
        <v>7.5</v>
      </c>
      <c r="P74" s="77">
        <v>10</v>
      </c>
      <c r="Q74" s="79">
        <v>8.98</v>
      </c>
      <c r="R74" s="79">
        <v>15</v>
      </c>
      <c r="S74" s="77">
        <v>4.17</v>
      </c>
      <c r="T74" s="77">
        <v>11.63</v>
      </c>
      <c r="U74" s="79">
        <v>15.79</v>
      </c>
      <c r="V74" s="82">
        <v>48.75</v>
      </c>
      <c r="W74" s="76" t="s">
        <v>323</v>
      </c>
    </row>
    <row r="75" spans="1:23" x14ac:dyDescent="0.3">
      <c r="A75" s="76" t="s">
        <v>255</v>
      </c>
      <c r="B75" s="76" t="s">
        <v>254</v>
      </c>
      <c r="C75" s="76" t="s">
        <v>468</v>
      </c>
      <c r="D75" s="76" t="s">
        <v>254</v>
      </c>
      <c r="E75" s="76"/>
      <c r="F75" s="76" t="s">
        <v>469</v>
      </c>
      <c r="G75" s="77">
        <v>8.93</v>
      </c>
      <c r="H75" s="77">
        <v>8.83</v>
      </c>
      <c r="I75" s="77">
        <v>8.5</v>
      </c>
      <c r="J75" s="77">
        <v>0.92</v>
      </c>
      <c r="K75" s="77">
        <v>10</v>
      </c>
      <c r="L75" s="77">
        <v>9</v>
      </c>
      <c r="M75" s="77">
        <v>9</v>
      </c>
      <c r="N75" s="77">
        <v>9.67</v>
      </c>
      <c r="O75" s="77">
        <v>10</v>
      </c>
      <c r="P75" s="77">
        <v>10</v>
      </c>
      <c r="Q75" s="79">
        <v>9.4700000000000006</v>
      </c>
      <c r="R75" s="79">
        <v>15</v>
      </c>
      <c r="S75" s="77">
        <v>3</v>
      </c>
      <c r="T75" s="77">
        <v>11.25</v>
      </c>
      <c r="U75" s="79">
        <v>14.25</v>
      </c>
      <c r="V75" s="82">
        <v>48.19</v>
      </c>
      <c r="W75" s="76" t="s">
        <v>323</v>
      </c>
    </row>
    <row r="76" spans="1:23" x14ac:dyDescent="0.3">
      <c r="A76" s="76" t="s">
        <v>257</v>
      </c>
      <c r="B76" s="76" t="s">
        <v>256</v>
      </c>
      <c r="C76" s="76" t="s">
        <v>470</v>
      </c>
      <c r="D76" s="76" t="s">
        <v>256</v>
      </c>
      <c r="E76" s="76"/>
      <c r="F76" s="76" t="s">
        <v>471</v>
      </c>
      <c r="G76" s="76" t="s">
        <v>80</v>
      </c>
      <c r="H76" s="77">
        <v>10</v>
      </c>
      <c r="I76" s="77">
        <v>8.5</v>
      </c>
      <c r="J76" s="77">
        <v>1</v>
      </c>
      <c r="K76" s="77">
        <v>10</v>
      </c>
      <c r="L76" s="77">
        <v>10</v>
      </c>
      <c r="M76" s="77">
        <v>9</v>
      </c>
      <c r="N76" s="77">
        <v>10</v>
      </c>
      <c r="O76" s="77">
        <v>10</v>
      </c>
      <c r="P76" s="77">
        <v>10</v>
      </c>
      <c r="Q76" s="79">
        <v>9.8800000000000008</v>
      </c>
      <c r="R76" s="79">
        <v>20</v>
      </c>
      <c r="S76" s="77">
        <v>4.17</v>
      </c>
      <c r="T76" s="77">
        <v>11.13</v>
      </c>
      <c r="U76" s="79">
        <v>15.29</v>
      </c>
      <c r="V76" s="82">
        <v>55.04</v>
      </c>
      <c r="W76" s="76" t="s">
        <v>323</v>
      </c>
    </row>
    <row r="77" spans="1:23" x14ac:dyDescent="0.3">
      <c r="A77" s="76" t="s">
        <v>259</v>
      </c>
      <c r="B77" s="76" t="s">
        <v>258</v>
      </c>
      <c r="C77" s="76" t="s">
        <v>472</v>
      </c>
      <c r="D77" s="76" t="s">
        <v>258</v>
      </c>
      <c r="E77" s="76"/>
      <c r="F77" s="76" t="s">
        <v>473</v>
      </c>
      <c r="G77" s="77">
        <v>10</v>
      </c>
      <c r="H77" s="77">
        <v>10</v>
      </c>
      <c r="I77" s="77">
        <v>9</v>
      </c>
      <c r="J77" s="77">
        <v>0.92</v>
      </c>
      <c r="K77" s="77">
        <v>10</v>
      </c>
      <c r="L77" s="77">
        <v>9</v>
      </c>
      <c r="M77" s="77">
        <v>9</v>
      </c>
      <c r="N77" s="77">
        <v>9.67</v>
      </c>
      <c r="O77" s="77">
        <v>8.17</v>
      </c>
      <c r="P77" s="77">
        <v>10</v>
      </c>
      <c r="Q77" s="79">
        <v>9.6</v>
      </c>
      <c r="R77" s="79">
        <v>14</v>
      </c>
      <c r="S77" s="77">
        <v>4.17</v>
      </c>
      <c r="T77" s="77">
        <v>9</v>
      </c>
      <c r="U77" s="79">
        <v>13.17</v>
      </c>
      <c r="V77" s="82">
        <v>46.38</v>
      </c>
      <c r="W77" s="76" t="s">
        <v>323</v>
      </c>
    </row>
    <row r="78" spans="1:23" x14ac:dyDescent="0.3">
      <c r="A78" s="76" t="s">
        <v>261</v>
      </c>
      <c r="B78" s="76" t="s">
        <v>260</v>
      </c>
      <c r="C78" s="76" t="s">
        <v>474</v>
      </c>
      <c r="D78" s="76" t="s">
        <v>260</v>
      </c>
      <c r="E78" s="76" t="s">
        <v>475</v>
      </c>
      <c r="F78" s="76" t="s">
        <v>476</v>
      </c>
      <c r="G78" s="77">
        <v>10</v>
      </c>
      <c r="H78" s="77">
        <v>10</v>
      </c>
      <c r="I78" s="77">
        <v>7.5</v>
      </c>
      <c r="J78" s="77">
        <v>1</v>
      </c>
      <c r="K78" s="77">
        <v>9</v>
      </c>
      <c r="L78" s="77">
        <v>10</v>
      </c>
      <c r="M78" s="77">
        <v>9.5</v>
      </c>
      <c r="N78" s="77">
        <v>10</v>
      </c>
      <c r="O78" s="77">
        <v>10</v>
      </c>
      <c r="P78" s="77">
        <v>10</v>
      </c>
      <c r="Q78" s="79">
        <v>9.94</v>
      </c>
      <c r="R78" s="79">
        <v>16</v>
      </c>
      <c r="S78" s="77">
        <v>3.83</v>
      </c>
      <c r="T78" s="77">
        <v>10.63</v>
      </c>
      <c r="U78" s="79">
        <v>14.46</v>
      </c>
      <c r="V78" s="82">
        <v>50.33</v>
      </c>
      <c r="W78" s="76" t="s">
        <v>323</v>
      </c>
    </row>
    <row r="79" spans="1:23" x14ac:dyDescent="0.3">
      <c r="A79" s="76" t="s">
        <v>263</v>
      </c>
      <c r="B79" s="76" t="s">
        <v>262</v>
      </c>
      <c r="C79" s="76" t="s">
        <v>477</v>
      </c>
      <c r="D79" s="76" t="s">
        <v>262</v>
      </c>
      <c r="E79" s="76"/>
      <c r="F79" s="76" t="s">
        <v>478</v>
      </c>
      <c r="G79" s="76" t="s">
        <v>80</v>
      </c>
      <c r="H79" s="77">
        <v>10</v>
      </c>
      <c r="I79" s="77">
        <v>10</v>
      </c>
      <c r="J79" s="77">
        <v>0.92</v>
      </c>
      <c r="K79" s="77">
        <v>10</v>
      </c>
      <c r="L79" s="77">
        <v>9</v>
      </c>
      <c r="M79" s="77">
        <v>9.5</v>
      </c>
      <c r="N79" s="77">
        <v>9.67</v>
      </c>
      <c r="O79" s="76" t="s">
        <v>80</v>
      </c>
      <c r="P79" s="77">
        <v>10</v>
      </c>
      <c r="Q79" s="79">
        <v>9.67</v>
      </c>
      <c r="R79" s="79">
        <v>19</v>
      </c>
      <c r="S79" s="77">
        <v>4.17</v>
      </c>
      <c r="T79" s="77">
        <v>10.88</v>
      </c>
      <c r="U79" s="79">
        <v>15.04</v>
      </c>
      <c r="V79" s="82">
        <v>53.38</v>
      </c>
      <c r="W79" s="76" t="s">
        <v>323</v>
      </c>
    </row>
    <row r="80" spans="1:23" x14ac:dyDescent="0.3">
      <c r="A80" s="76" t="s">
        <v>265</v>
      </c>
      <c r="B80" s="76" t="s">
        <v>264</v>
      </c>
      <c r="C80" s="76" t="s">
        <v>479</v>
      </c>
      <c r="D80" s="76" t="s">
        <v>264</v>
      </c>
      <c r="E80" s="76"/>
      <c r="F80" s="76" t="s">
        <v>480</v>
      </c>
      <c r="G80" s="77">
        <v>10</v>
      </c>
      <c r="H80" s="77">
        <v>8.93</v>
      </c>
      <c r="I80" s="77">
        <v>9</v>
      </c>
      <c r="J80" s="77">
        <v>0.92</v>
      </c>
      <c r="K80" s="77">
        <v>10</v>
      </c>
      <c r="L80" s="77">
        <v>8</v>
      </c>
      <c r="M80" s="77">
        <v>10</v>
      </c>
      <c r="N80" s="77">
        <v>9.67</v>
      </c>
      <c r="O80" s="77">
        <v>9.17</v>
      </c>
      <c r="P80" s="77">
        <v>10</v>
      </c>
      <c r="Q80" s="79">
        <v>9.6300000000000008</v>
      </c>
      <c r="R80" s="79">
        <v>16</v>
      </c>
      <c r="S80" s="77">
        <v>2.4300000000000002</v>
      </c>
      <c r="T80" s="77">
        <v>11.63</v>
      </c>
      <c r="U80" s="79">
        <v>14.06</v>
      </c>
      <c r="V80" s="82">
        <v>49.31</v>
      </c>
      <c r="W80" s="76" t="s">
        <v>323</v>
      </c>
    </row>
    <row r="81" spans="1:23" x14ac:dyDescent="0.3">
      <c r="A81" s="76" t="s">
        <v>267</v>
      </c>
      <c r="B81" s="76" t="s">
        <v>266</v>
      </c>
      <c r="C81" s="76" t="s">
        <v>481</v>
      </c>
      <c r="D81" s="76" t="s">
        <v>266</v>
      </c>
      <c r="E81" s="76"/>
      <c r="F81" s="76" t="s">
        <v>482</v>
      </c>
      <c r="G81" s="77">
        <v>10</v>
      </c>
      <c r="H81" s="77">
        <v>10</v>
      </c>
      <c r="I81" s="77">
        <v>9</v>
      </c>
      <c r="J81" s="77">
        <v>0.87</v>
      </c>
      <c r="K81" s="77">
        <v>9.5</v>
      </c>
      <c r="L81" s="77">
        <v>9</v>
      </c>
      <c r="M81" s="77">
        <v>9</v>
      </c>
      <c r="N81" s="77">
        <v>9.67</v>
      </c>
      <c r="O81" s="77">
        <v>9</v>
      </c>
      <c r="P81" s="77">
        <v>10</v>
      </c>
      <c r="Q81" s="79">
        <v>9.52</v>
      </c>
      <c r="R81" s="79">
        <v>12</v>
      </c>
      <c r="S81" s="77">
        <v>3</v>
      </c>
      <c r="T81" s="77">
        <v>9.5</v>
      </c>
      <c r="U81" s="79">
        <v>12.5</v>
      </c>
      <c r="V81" s="82">
        <v>43.54</v>
      </c>
      <c r="W81" s="76" t="s">
        <v>323</v>
      </c>
    </row>
    <row r="82" spans="1:23" x14ac:dyDescent="0.3">
      <c r="A82" s="76" t="s">
        <v>269</v>
      </c>
      <c r="B82" s="76" t="s">
        <v>268</v>
      </c>
      <c r="C82" s="76" t="s">
        <v>483</v>
      </c>
      <c r="D82" s="76" t="s">
        <v>268</v>
      </c>
      <c r="E82" s="76"/>
      <c r="F82" s="76" t="s">
        <v>484</v>
      </c>
      <c r="G82" s="77">
        <v>10</v>
      </c>
      <c r="H82" s="77">
        <v>10</v>
      </c>
      <c r="I82" s="77">
        <v>10</v>
      </c>
      <c r="J82" s="77">
        <v>0.95</v>
      </c>
      <c r="K82" s="77">
        <v>10</v>
      </c>
      <c r="L82" s="77">
        <v>10</v>
      </c>
      <c r="M82" s="77">
        <v>9</v>
      </c>
      <c r="N82" s="77">
        <v>10</v>
      </c>
      <c r="O82" s="77">
        <v>9.67</v>
      </c>
      <c r="P82" s="77">
        <v>10</v>
      </c>
      <c r="Q82" s="79">
        <v>9.9600000000000009</v>
      </c>
      <c r="R82" s="79">
        <v>18</v>
      </c>
      <c r="S82" s="77">
        <v>3.33</v>
      </c>
      <c r="T82" s="77">
        <v>14.38</v>
      </c>
      <c r="U82" s="79">
        <v>17.71</v>
      </c>
      <c r="V82" s="82">
        <v>55.62</v>
      </c>
      <c r="W82" s="76" t="s">
        <v>323</v>
      </c>
    </row>
    <row r="83" spans="1:23" x14ac:dyDescent="0.3">
      <c r="A83" s="76" t="s">
        <v>271</v>
      </c>
      <c r="B83" s="76" t="s">
        <v>270</v>
      </c>
      <c r="C83" s="76" t="s">
        <v>485</v>
      </c>
      <c r="D83" s="76" t="s">
        <v>270</v>
      </c>
      <c r="E83" s="76"/>
      <c r="F83" s="76" t="s">
        <v>486</v>
      </c>
      <c r="G83" s="77">
        <v>10</v>
      </c>
      <c r="H83" s="77">
        <v>8.5</v>
      </c>
      <c r="I83" s="77">
        <v>9</v>
      </c>
      <c r="J83" s="77">
        <v>0.87</v>
      </c>
      <c r="K83" s="77">
        <v>10</v>
      </c>
      <c r="L83" s="77">
        <v>8.5</v>
      </c>
      <c r="M83" s="77">
        <v>10</v>
      </c>
      <c r="N83" s="77">
        <v>9.67</v>
      </c>
      <c r="O83" s="77">
        <v>10</v>
      </c>
      <c r="P83" s="77">
        <v>10</v>
      </c>
      <c r="Q83" s="79">
        <v>9.67</v>
      </c>
      <c r="R83" s="79">
        <v>15</v>
      </c>
      <c r="S83" s="77">
        <v>2.4300000000000002</v>
      </c>
      <c r="T83" s="77">
        <v>11.63</v>
      </c>
      <c r="U83" s="79">
        <v>14.06</v>
      </c>
      <c r="V83" s="82">
        <v>48.39</v>
      </c>
      <c r="W83" s="76" t="s">
        <v>323</v>
      </c>
    </row>
    <row r="84" spans="1:23" x14ac:dyDescent="0.3">
      <c r="A84" s="76" t="s">
        <v>273</v>
      </c>
      <c r="B84" s="76" t="s">
        <v>272</v>
      </c>
      <c r="C84" s="76" t="s">
        <v>487</v>
      </c>
      <c r="D84" s="76" t="s">
        <v>272</v>
      </c>
      <c r="E84" s="76"/>
      <c r="F84" s="76" t="s">
        <v>488</v>
      </c>
      <c r="G84" s="77">
        <v>9.6</v>
      </c>
      <c r="H84" s="77">
        <v>10</v>
      </c>
      <c r="I84" s="77">
        <v>8.5</v>
      </c>
      <c r="J84" s="77">
        <v>0.92</v>
      </c>
      <c r="K84" s="77">
        <v>10</v>
      </c>
      <c r="L84" s="77">
        <v>9</v>
      </c>
      <c r="M84" s="77">
        <v>8</v>
      </c>
      <c r="N84" s="77">
        <v>9.67</v>
      </c>
      <c r="O84" s="76" t="s">
        <v>80</v>
      </c>
      <c r="P84" s="77">
        <v>10</v>
      </c>
      <c r="Q84" s="79">
        <v>9.49</v>
      </c>
      <c r="R84" s="79">
        <v>16</v>
      </c>
      <c r="S84" s="77">
        <v>4</v>
      </c>
      <c r="T84" s="77">
        <v>9.25</v>
      </c>
      <c r="U84" s="79">
        <v>13.25</v>
      </c>
      <c r="V84" s="82">
        <v>48.23</v>
      </c>
      <c r="W84" s="76" t="s">
        <v>323</v>
      </c>
    </row>
    <row r="85" spans="1:23" x14ac:dyDescent="0.3">
      <c r="A85" s="76" t="s">
        <v>275</v>
      </c>
      <c r="B85" s="76" t="s">
        <v>274</v>
      </c>
      <c r="C85" s="76" t="s">
        <v>489</v>
      </c>
      <c r="D85" s="76" t="s">
        <v>274</v>
      </c>
      <c r="E85" s="76"/>
      <c r="F85" s="76" t="s">
        <v>490</v>
      </c>
      <c r="G85" s="77">
        <v>10</v>
      </c>
      <c r="H85" s="77">
        <v>10</v>
      </c>
      <c r="I85" s="77">
        <v>10</v>
      </c>
      <c r="J85" s="76" t="s">
        <v>80</v>
      </c>
      <c r="K85" s="77">
        <v>10</v>
      </c>
      <c r="L85" s="77">
        <v>9</v>
      </c>
      <c r="M85" s="76" t="s">
        <v>80</v>
      </c>
      <c r="N85" s="77">
        <v>9.67</v>
      </c>
      <c r="O85" s="77">
        <v>9</v>
      </c>
      <c r="P85" s="77">
        <v>10</v>
      </c>
      <c r="Q85" s="79">
        <v>9.7100000000000009</v>
      </c>
      <c r="R85" s="79">
        <v>19</v>
      </c>
      <c r="S85" s="77">
        <v>3.83</v>
      </c>
      <c r="T85" s="77">
        <v>11.5</v>
      </c>
      <c r="U85" s="79">
        <v>15.33</v>
      </c>
      <c r="V85" s="82">
        <v>53.75</v>
      </c>
      <c r="W85" s="76" t="s">
        <v>323</v>
      </c>
    </row>
    <row r="86" spans="1:23" x14ac:dyDescent="0.3">
      <c r="A86" s="76" t="s">
        <v>277</v>
      </c>
      <c r="B86" s="76" t="s">
        <v>276</v>
      </c>
      <c r="C86" s="76" t="s">
        <v>491</v>
      </c>
      <c r="D86" s="76" t="s">
        <v>276</v>
      </c>
      <c r="E86" s="76"/>
      <c r="F86" s="76" t="s">
        <v>492</v>
      </c>
      <c r="G86" s="77">
        <v>10</v>
      </c>
      <c r="H86" s="77">
        <v>9.5</v>
      </c>
      <c r="I86" s="77">
        <v>7.33</v>
      </c>
      <c r="J86" s="77">
        <v>0.92</v>
      </c>
      <c r="K86" s="76" t="s">
        <v>80</v>
      </c>
      <c r="L86" s="77">
        <v>10</v>
      </c>
      <c r="M86" s="77">
        <v>8.5</v>
      </c>
      <c r="N86" s="77">
        <v>9.67</v>
      </c>
      <c r="O86" s="77">
        <v>10</v>
      </c>
      <c r="P86" s="77">
        <v>10</v>
      </c>
      <c r="Q86" s="79">
        <v>9.6</v>
      </c>
      <c r="R86" s="79">
        <v>17</v>
      </c>
      <c r="S86" s="77">
        <v>2.83</v>
      </c>
      <c r="T86" s="77">
        <v>14.63</v>
      </c>
      <c r="U86" s="79">
        <v>17.46</v>
      </c>
      <c r="V86" s="82">
        <v>53.67</v>
      </c>
      <c r="W86" s="76" t="s">
        <v>323</v>
      </c>
    </row>
    <row r="87" spans="1:23" x14ac:dyDescent="0.3">
      <c r="A87" s="76" t="s">
        <v>279</v>
      </c>
      <c r="B87" s="76" t="s">
        <v>278</v>
      </c>
      <c r="C87" s="76" t="s">
        <v>493</v>
      </c>
      <c r="D87" s="76" t="s">
        <v>278</v>
      </c>
      <c r="E87" s="76"/>
      <c r="F87" s="76" t="s">
        <v>494</v>
      </c>
      <c r="G87" s="77">
        <v>10</v>
      </c>
      <c r="H87" s="77">
        <v>10</v>
      </c>
      <c r="I87" s="76" t="s">
        <v>80</v>
      </c>
      <c r="J87" s="76" t="s">
        <v>80</v>
      </c>
      <c r="K87" s="77">
        <v>10</v>
      </c>
      <c r="L87" s="77">
        <v>9</v>
      </c>
      <c r="M87" s="77">
        <v>9.5</v>
      </c>
      <c r="N87" s="77">
        <v>10</v>
      </c>
      <c r="O87" s="77">
        <v>10</v>
      </c>
      <c r="P87" s="77">
        <v>10</v>
      </c>
      <c r="Q87" s="79">
        <v>9.81</v>
      </c>
      <c r="R87" s="79">
        <v>18</v>
      </c>
      <c r="S87" s="77">
        <v>1.67</v>
      </c>
      <c r="T87" s="77">
        <v>9.1300000000000008</v>
      </c>
      <c r="U87" s="79">
        <v>10.79</v>
      </c>
      <c r="V87" s="82">
        <v>48.42</v>
      </c>
      <c r="W87" s="76" t="s">
        <v>323</v>
      </c>
    </row>
    <row r="88" spans="1:23" x14ac:dyDescent="0.3">
      <c r="A88" s="76" t="s">
        <v>281</v>
      </c>
      <c r="B88" s="76" t="s">
        <v>280</v>
      </c>
      <c r="C88" s="76" t="s">
        <v>495</v>
      </c>
      <c r="D88" s="76" t="s">
        <v>280</v>
      </c>
      <c r="E88" s="76"/>
      <c r="F88" s="76" t="s">
        <v>496</v>
      </c>
      <c r="G88" s="76" t="s">
        <v>80</v>
      </c>
      <c r="H88" s="77">
        <v>9.33</v>
      </c>
      <c r="I88" s="77">
        <v>5.5</v>
      </c>
      <c r="J88" s="77">
        <v>0.92</v>
      </c>
      <c r="K88" s="77">
        <v>10</v>
      </c>
      <c r="L88" s="76" t="s">
        <v>80</v>
      </c>
      <c r="M88" s="77">
        <v>9</v>
      </c>
      <c r="N88" s="77">
        <v>9.67</v>
      </c>
      <c r="O88" s="77">
        <v>8.17</v>
      </c>
      <c r="P88" s="77">
        <v>10</v>
      </c>
      <c r="Q88" s="79">
        <v>8.85</v>
      </c>
      <c r="R88" s="79">
        <v>16</v>
      </c>
      <c r="S88" s="77">
        <v>2.67</v>
      </c>
      <c r="T88" s="77">
        <v>8.8800000000000008</v>
      </c>
      <c r="U88" s="79">
        <v>11.54</v>
      </c>
      <c r="V88" s="82">
        <v>45.25</v>
      </c>
      <c r="W88" s="76" t="s">
        <v>323</v>
      </c>
    </row>
    <row r="89" spans="1:23" x14ac:dyDescent="0.3">
      <c r="A89" s="76" t="s">
        <v>283</v>
      </c>
      <c r="B89" s="76" t="s">
        <v>282</v>
      </c>
      <c r="C89" s="76" t="s">
        <v>497</v>
      </c>
      <c r="D89" s="76" t="s">
        <v>282</v>
      </c>
      <c r="E89" s="76"/>
      <c r="F89" s="76" t="s">
        <v>498</v>
      </c>
      <c r="G89" s="77">
        <v>10</v>
      </c>
      <c r="H89" s="77">
        <v>9.5</v>
      </c>
      <c r="I89" s="77">
        <v>8</v>
      </c>
      <c r="J89" s="76" t="s">
        <v>80</v>
      </c>
      <c r="K89" s="77">
        <v>10</v>
      </c>
      <c r="L89" s="77">
        <v>9</v>
      </c>
      <c r="M89" s="76" t="s">
        <v>80</v>
      </c>
      <c r="N89" s="77">
        <v>9.67</v>
      </c>
      <c r="O89" s="77">
        <v>8.5</v>
      </c>
      <c r="P89" s="77">
        <v>10</v>
      </c>
      <c r="Q89" s="79">
        <v>9.33</v>
      </c>
      <c r="R89" s="79">
        <v>20</v>
      </c>
      <c r="S89" s="77">
        <v>4</v>
      </c>
      <c r="T89" s="77">
        <v>13.13</v>
      </c>
      <c r="U89" s="79">
        <v>17.13</v>
      </c>
      <c r="V89" s="82">
        <v>55.79</v>
      </c>
      <c r="W89" s="76" t="s">
        <v>323</v>
      </c>
    </row>
    <row r="90" spans="1:23" x14ac:dyDescent="0.3">
      <c r="A90" s="76" t="s">
        <v>285</v>
      </c>
      <c r="B90" s="76" t="s">
        <v>284</v>
      </c>
      <c r="C90" s="76" t="s">
        <v>499</v>
      </c>
      <c r="D90" s="76" t="s">
        <v>284</v>
      </c>
      <c r="E90" s="76"/>
      <c r="F90" s="76" t="s">
        <v>500</v>
      </c>
      <c r="G90" s="77">
        <v>9.33</v>
      </c>
      <c r="H90" s="77">
        <v>10</v>
      </c>
      <c r="I90" s="77">
        <v>10</v>
      </c>
      <c r="J90" s="77">
        <v>0.9</v>
      </c>
      <c r="K90" s="77">
        <v>10</v>
      </c>
      <c r="L90" s="77">
        <v>10</v>
      </c>
      <c r="M90" s="77">
        <v>9</v>
      </c>
      <c r="N90" s="77">
        <v>10</v>
      </c>
      <c r="O90" s="77">
        <v>8.67</v>
      </c>
      <c r="P90" s="77">
        <v>10</v>
      </c>
      <c r="Q90" s="79">
        <v>9.7899999999999991</v>
      </c>
      <c r="R90" s="79">
        <v>17</v>
      </c>
      <c r="S90" s="77">
        <v>4</v>
      </c>
      <c r="T90" s="77">
        <v>9.8800000000000008</v>
      </c>
      <c r="U90" s="79">
        <v>13.88</v>
      </c>
      <c r="V90" s="82">
        <v>50.46</v>
      </c>
      <c r="W90" s="76" t="s">
        <v>323</v>
      </c>
    </row>
    <row r="91" spans="1:23" x14ac:dyDescent="0.3">
      <c r="A91" s="76" t="s">
        <v>104</v>
      </c>
      <c r="B91" s="76" t="s">
        <v>103</v>
      </c>
      <c r="C91" s="76" t="s">
        <v>108</v>
      </c>
      <c r="D91" s="76" t="s">
        <v>103</v>
      </c>
      <c r="E91" s="76"/>
      <c r="F91" s="76" t="s">
        <v>109</v>
      </c>
      <c r="G91" s="77">
        <v>10</v>
      </c>
      <c r="H91" s="77">
        <v>10</v>
      </c>
      <c r="I91" s="77">
        <v>8.5</v>
      </c>
      <c r="J91" s="77">
        <v>1</v>
      </c>
      <c r="K91" s="77">
        <v>10</v>
      </c>
      <c r="L91" s="77">
        <v>10</v>
      </c>
      <c r="M91" s="77">
        <v>10</v>
      </c>
      <c r="N91" s="77">
        <v>10</v>
      </c>
      <c r="O91" s="77">
        <v>10</v>
      </c>
      <c r="P91" s="77">
        <v>10</v>
      </c>
      <c r="Q91" s="79">
        <v>10</v>
      </c>
      <c r="R91" s="79">
        <v>14</v>
      </c>
      <c r="S91" s="77">
        <v>2.67</v>
      </c>
      <c r="T91" s="77">
        <v>9.6300000000000008</v>
      </c>
      <c r="U91" s="79">
        <v>12.29</v>
      </c>
      <c r="V91" s="82">
        <v>46.29</v>
      </c>
      <c r="W91" s="76" t="s">
        <v>323</v>
      </c>
    </row>
    <row r="92" spans="1:23" x14ac:dyDescent="0.3">
      <c r="A92" s="76" t="s">
        <v>287</v>
      </c>
      <c r="B92" s="76" t="s">
        <v>286</v>
      </c>
      <c r="C92" s="76" t="s">
        <v>501</v>
      </c>
      <c r="D92" s="76" t="s">
        <v>286</v>
      </c>
      <c r="E92" s="76"/>
      <c r="F92" s="76" t="s">
        <v>502</v>
      </c>
      <c r="G92" s="77">
        <v>10</v>
      </c>
      <c r="H92" s="77">
        <v>10</v>
      </c>
      <c r="I92" s="77">
        <v>8.5</v>
      </c>
      <c r="J92" s="77">
        <v>1</v>
      </c>
      <c r="K92" s="76" t="s">
        <v>80</v>
      </c>
      <c r="L92" s="77">
        <v>9</v>
      </c>
      <c r="M92" s="77">
        <v>9</v>
      </c>
      <c r="N92" s="77">
        <v>10</v>
      </c>
      <c r="O92" s="77">
        <v>8.67</v>
      </c>
      <c r="P92" s="77">
        <v>10</v>
      </c>
      <c r="Q92" s="79">
        <v>9.58</v>
      </c>
      <c r="R92" s="79">
        <v>20</v>
      </c>
      <c r="S92" s="77">
        <v>3.17</v>
      </c>
      <c r="T92" s="77">
        <v>8.25</v>
      </c>
      <c r="U92" s="79">
        <v>11.42</v>
      </c>
      <c r="V92" s="82">
        <v>50.58</v>
      </c>
      <c r="W92" s="76" t="s">
        <v>323</v>
      </c>
    </row>
    <row r="93" spans="1:23" x14ac:dyDescent="0.3">
      <c r="A93" s="76" t="s">
        <v>289</v>
      </c>
      <c r="B93" s="76" t="s">
        <v>288</v>
      </c>
      <c r="C93" s="76" t="s">
        <v>503</v>
      </c>
      <c r="D93" s="76" t="s">
        <v>288</v>
      </c>
      <c r="E93" s="76"/>
      <c r="F93" s="76" t="s">
        <v>504</v>
      </c>
      <c r="G93" s="77">
        <v>9.33</v>
      </c>
      <c r="H93" s="77">
        <v>10</v>
      </c>
      <c r="I93" s="77">
        <v>8.5</v>
      </c>
      <c r="J93" s="77">
        <v>0.92</v>
      </c>
      <c r="K93" s="77">
        <v>10</v>
      </c>
      <c r="L93" s="77">
        <v>10</v>
      </c>
      <c r="M93" s="77">
        <v>9</v>
      </c>
      <c r="N93" s="77">
        <v>10</v>
      </c>
      <c r="O93" s="77">
        <v>10</v>
      </c>
      <c r="P93" s="77">
        <v>10</v>
      </c>
      <c r="Q93" s="79">
        <v>9.81</v>
      </c>
      <c r="R93" s="79">
        <v>20</v>
      </c>
      <c r="S93" s="77">
        <v>4.5</v>
      </c>
      <c r="T93" s="77">
        <v>13.38</v>
      </c>
      <c r="U93" s="79">
        <v>17.88</v>
      </c>
      <c r="V93" s="82">
        <v>57.5</v>
      </c>
      <c r="W93" s="76" t="s">
        <v>323</v>
      </c>
    </row>
    <row r="94" spans="1:23" x14ac:dyDescent="0.3">
      <c r="A94" s="76" t="s">
        <v>291</v>
      </c>
      <c r="B94" s="76" t="s">
        <v>290</v>
      </c>
      <c r="C94" s="76" t="s">
        <v>505</v>
      </c>
      <c r="D94" s="76" t="s">
        <v>290</v>
      </c>
      <c r="E94" s="76"/>
      <c r="F94" s="76" t="s">
        <v>506</v>
      </c>
      <c r="G94" s="77">
        <v>10</v>
      </c>
      <c r="H94" s="77">
        <v>9</v>
      </c>
      <c r="I94" s="76" t="s">
        <v>80</v>
      </c>
      <c r="J94" s="77">
        <v>0.87</v>
      </c>
      <c r="K94" s="77">
        <v>10</v>
      </c>
      <c r="L94" s="77">
        <v>9</v>
      </c>
      <c r="M94" s="77">
        <v>9.5</v>
      </c>
      <c r="N94" s="77">
        <v>9.67</v>
      </c>
      <c r="O94" s="77">
        <v>8.67</v>
      </c>
      <c r="P94" s="77">
        <v>10</v>
      </c>
      <c r="Q94" s="79">
        <v>9.48</v>
      </c>
      <c r="R94" s="79">
        <v>13</v>
      </c>
      <c r="S94" s="77">
        <v>3.33</v>
      </c>
      <c r="T94" s="77">
        <v>10.38</v>
      </c>
      <c r="U94" s="79">
        <v>13.71</v>
      </c>
      <c r="V94" s="82">
        <v>45.67</v>
      </c>
      <c r="W94" s="76" t="s">
        <v>323</v>
      </c>
    </row>
    <row r="95" spans="1:23" x14ac:dyDescent="0.3">
      <c r="A95" s="76" t="s">
        <v>293</v>
      </c>
      <c r="B95" s="76" t="s">
        <v>292</v>
      </c>
      <c r="C95" s="76" t="s">
        <v>507</v>
      </c>
      <c r="D95" s="76" t="s">
        <v>292</v>
      </c>
      <c r="E95" s="76"/>
      <c r="F95" s="76" t="s">
        <v>508</v>
      </c>
      <c r="G95" s="77">
        <v>10</v>
      </c>
      <c r="H95" s="77">
        <v>10</v>
      </c>
      <c r="I95" s="77">
        <v>8.5</v>
      </c>
      <c r="J95" s="77">
        <v>0.9</v>
      </c>
      <c r="K95" s="77">
        <v>10</v>
      </c>
      <c r="L95" s="77">
        <v>9</v>
      </c>
      <c r="M95" s="77">
        <v>9.5</v>
      </c>
      <c r="N95" s="77">
        <v>9.67</v>
      </c>
      <c r="O95" s="77">
        <v>9.17</v>
      </c>
      <c r="P95" s="77">
        <v>10</v>
      </c>
      <c r="Q95" s="79">
        <v>9.67</v>
      </c>
      <c r="R95" s="79">
        <v>20</v>
      </c>
      <c r="S95" s="77">
        <v>1.67</v>
      </c>
      <c r="T95" s="77">
        <v>9.1300000000000008</v>
      </c>
      <c r="U95" s="79">
        <v>10.79</v>
      </c>
      <c r="V95" s="82">
        <v>50.13</v>
      </c>
      <c r="W95" s="76" t="s">
        <v>323</v>
      </c>
    </row>
    <row r="96" spans="1:23" x14ac:dyDescent="0.3">
      <c r="A96" s="76" t="s">
        <v>295</v>
      </c>
      <c r="B96" s="76" t="s">
        <v>294</v>
      </c>
      <c r="C96" s="76" t="s">
        <v>509</v>
      </c>
      <c r="D96" s="76" t="s">
        <v>294</v>
      </c>
      <c r="E96" s="76"/>
      <c r="F96" s="76" t="s">
        <v>510</v>
      </c>
      <c r="G96" s="76" t="s">
        <v>80</v>
      </c>
      <c r="H96" s="77">
        <v>10</v>
      </c>
      <c r="I96" s="77">
        <v>8.5</v>
      </c>
      <c r="J96" s="77">
        <v>1</v>
      </c>
      <c r="K96" s="77">
        <v>10</v>
      </c>
      <c r="L96" s="77">
        <v>10</v>
      </c>
      <c r="M96" s="77">
        <v>9.5</v>
      </c>
      <c r="N96" s="77">
        <v>10</v>
      </c>
      <c r="O96" s="77">
        <v>10</v>
      </c>
      <c r="P96" s="77">
        <v>10</v>
      </c>
      <c r="Q96" s="79">
        <v>9.94</v>
      </c>
      <c r="R96" s="79">
        <v>16</v>
      </c>
      <c r="S96" s="77">
        <v>4.5</v>
      </c>
      <c r="T96" s="77">
        <v>13.38</v>
      </c>
      <c r="U96" s="79">
        <v>17.88</v>
      </c>
      <c r="V96" s="82">
        <v>53.75</v>
      </c>
      <c r="W96" s="76" t="s">
        <v>323</v>
      </c>
    </row>
    <row r="97" spans="1:23" x14ac:dyDescent="0.3">
      <c r="A97" s="76" t="s">
        <v>297</v>
      </c>
      <c r="B97" s="76" t="s">
        <v>296</v>
      </c>
      <c r="C97" s="76" t="s">
        <v>511</v>
      </c>
      <c r="D97" s="76" t="s">
        <v>296</v>
      </c>
      <c r="E97" s="76"/>
      <c r="F97" s="76" t="s">
        <v>512</v>
      </c>
      <c r="G97" s="77">
        <v>10</v>
      </c>
      <c r="H97" s="77">
        <v>10</v>
      </c>
      <c r="I97" s="77">
        <v>10</v>
      </c>
      <c r="J97" s="77">
        <v>1</v>
      </c>
      <c r="K97" s="77">
        <v>10</v>
      </c>
      <c r="L97" s="77">
        <v>10</v>
      </c>
      <c r="M97" s="77">
        <v>9</v>
      </c>
      <c r="N97" s="77">
        <v>10</v>
      </c>
      <c r="O97" s="77">
        <v>10</v>
      </c>
      <c r="P97" s="77">
        <v>10</v>
      </c>
      <c r="Q97" s="79">
        <v>10</v>
      </c>
      <c r="R97" s="79">
        <v>16</v>
      </c>
      <c r="S97" s="77">
        <v>4.67</v>
      </c>
      <c r="T97" s="77">
        <v>12.63</v>
      </c>
      <c r="U97" s="79">
        <v>17.29</v>
      </c>
      <c r="V97" s="82">
        <v>53.29</v>
      </c>
      <c r="W97" s="76" t="s">
        <v>323</v>
      </c>
    </row>
    <row r="98" spans="1:23" x14ac:dyDescent="0.3">
      <c r="A98" s="76" t="s">
        <v>299</v>
      </c>
      <c r="B98" s="76" t="s">
        <v>298</v>
      </c>
      <c r="C98" s="76" t="s">
        <v>513</v>
      </c>
      <c r="D98" s="76" t="s">
        <v>298</v>
      </c>
      <c r="E98" s="76"/>
      <c r="F98" s="76" t="s">
        <v>514</v>
      </c>
      <c r="G98" s="77">
        <v>10</v>
      </c>
      <c r="H98" s="77">
        <v>10</v>
      </c>
      <c r="I98" s="77">
        <v>6</v>
      </c>
      <c r="J98" s="77">
        <v>0.95</v>
      </c>
      <c r="K98" s="77">
        <v>9.5</v>
      </c>
      <c r="L98" s="77">
        <v>10</v>
      </c>
      <c r="M98" s="77">
        <v>10</v>
      </c>
      <c r="N98" s="77">
        <v>10</v>
      </c>
      <c r="O98" s="77">
        <v>10</v>
      </c>
      <c r="P98" s="77">
        <v>10</v>
      </c>
      <c r="Q98" s="79">
        <v>9.94</v>
      </c>
      <c r="R98" s="79">
        <v>15</v>
      </c>
      <c r="S98" s="77">
        <v>2</v>
      </c>
      <c r="T98" s="77">
        <v>10.25</v>
      </c>
      <c r="U98" s="79">
        <v>12.25</v>
      </c>
      <c r="V98" s="82">
        <v>47.13</v>
      </c>
      <c r="W98" s="76" t="s">
        <v>323</v>
      </c>
    </row>
    <row r="99" spans="1:23" x14ac:dyDescent="0.3">
      <c r="A99" s="76" t="s">
        <v>301</v>
      </c>
      <c r="B99" s="76" t="s">
        <v>300</v>
      </c>
      <c r="C99" s="76" t="s">
        <v>515</v>
      </c>
      <c r="D99" s="76" t="s">
        <v>300</v>
      </c>
      <c r="E99" s="76"/>
      <c r="F99" s="76" t="s">
        <v>516</v>
      </c>
      <c r="G99" s="76" t="s">
        <v>80</v>
      </c>
      <c r="H99" s="77">
        <v>10</v>
      </c>
      <c r="I99" s="77">
        <v>10</v>
      </c>
      <c r="J99" s="77">
        <v>1</v>
      </c>
      <c r="K99" s="77">
        <v>10</v>
      </c>
      <c r="L99" s="77">
        <v>10</v>
      </c>
      <c r="M99" s="77">
        <v>10</v>
      </c>
      <c r="N99" s="77">
        <v>9.67</v>
      </c>
      <c r="O99" s="77">
        <v>10</v>
      </c>
      <c r="P99" s="77">
        <v>10</v>
      </c>
      <c r="Q99" s="79">
        <v>10</v>
      </c>
      <c r="R99" s="79">
        <v>18</v>
      </c>
      <c r="S99" s="77">
        <v>4.67</v>
      </c>
      <c r="T99" s="77">
        <v>12.63</v>
      </c>
      <c r="U99" s="79">
        <v>17.29</v>
      </c>
      <c r="V99" s="82">
        <v>55.29</v>
      </c>
      <c r="W99" s="76" t="s">
        <v>323</v>
      </c>
    </row>
    <row r="100" spans="1:23" x14ac:dyDescent="0.3">
      <c r="A100" s="76" t="s">
        <v>303</v>
      </c>
      <c r="B100" s="76" t="s">
        <v>302</v>
      </c>
      <c r="C100" s="76" t="s">
        <v>517</v>
      </c>
      <c r="D100" s="76" t="s">
        <v>302</v>
      </c>
      <c r="E100" s="76"/>
      <c r="F100" s="76" t="s">
        <v>518</v>
      </c>
      <c r="G100" s="77">
        <v>10</v>
      </c>
      <c r="H100" s="77">
        <v>10</v>
      </c>
      <c r="I100" s="77">
        <v>10</v>
      </c>
      <c r="J100" s="77">
        <v>0.82</v>
      </c>
      <c r="K100" s="77">
        <v>10</v>
      </c>
      <c r="L100" s="77">
        <v>10</v>
      </c>
      <c r="M100" s="77">
        <v>9.5</v>
      </c>
      <c r="N100" s="77">
        <v>10</v>
      </c>
      <c r="O100" s="77">
        <v>8.17</v>
      </c>
      <c r="P100" s="77">
        <v>10</v>
      </c>
      <c r="Q100" s="79">
        <v>9.94</v>
      </c>
      <c r="R100" s="79">
        <v>16</v>
      </c>
      <c r="S100" s="77">
        <v>2.83</v>
      </c>
      <c r="T100" s="77">
        <v>12.13</v>
      </c>
      <c r="U100" s="79">
        <v>14.96</v>
      </c>
      <c r="V100" s="82">
        <v>50.83</v>
      </c>
      <c r="W100" s="76" t="s">
        <v>323</v>
      </c>
    </row>
    <row r="101" spans="1:23" x14ac:dyDescent="0.3">
      <c r="A101" s="76" t="s">
        <v>305</v>
      </c>
      <c r="B101" s="76" t="s">
        <v>304</v>
      </c>
      <c r="C101" s="76" t="s">
        <v>519</v>
      </c>
      <c r="D101" s="76" t="s">
        <v>304</v>
      </c>
      <c r="E101" s="76"/>
      <c r="F101" s="76" t="s">
        <v>520</v>
      </c>
      <c r="G101" s="77">
        <v>10</v>
      </c>
      <c r="H101" s="77">
        <v>10</v>
      </c>
      <c r="I101" s="77">
        <v>10</v>
      </c>
      <c r="J101" s="77">
        <v>1</v>
      </c>
      <c r="K101" s="77">
        <v>10</v>
      </c>
      <c r="L101" s="77">
        <v>9</v>
      </c>
      <c r="M101" s="77">
        <v>9.5</v>
      </c>
      <c r="N101" s="77">
        <v>9.67</v>
      </c>
      <c r="O101" s="77">
        <v>8.17</v>
      </c>
      <c r="P101" s="77">
        <v>10</v>
      </c>
      <c r="Q101" s="79">
        <v>9.9</v>
      </c>
      <c r="R101" s="79">
        <v>19</v>
      </c>
      <c r="S101" s="77">
        <v>4.17</v>
      </c>
      <c r="T101" s="77">
        <v>10.88</v>
      </c>
      <c r="U101" s="79">
        <v>15.04</v>
      </c>
      <c r="V101" s="82">
        <v>53.83</v>
      </c>
      <c r="W101" s="76" t="s">
        <v>323</v>
      </c>
    </row>
    <row r="102" spans="1:23" x14ac:dyDescent="0.3">
      <c r="A102" s="76" t="s">
        <v>307</v>
      </c>
      <c r="B102" s="76" t="s">
        <v>306</v>
      </c>
      <c r="C102" s="76" t="s">
        <v>521</v>
      </c>
      <c r="D102" s="76" t="s">
        <v>306</v>
      </c>
      <c r="E102" s="76"/>
      <c r="F102" s="76" t="s">
        <v>522</v>
      </c>
      <c r="G102" s="77">
        <v>10</v>
      </c>
      <c r="H102" s="77">
        <v>10</v>
      </c>
      <c r="I102" s="77">
        <v>9</v>
      </c>
      <c r="J102" s="77">
        <v>0.9</v>
      </c>
      <c r="K102" s="77">
        <v>10</v>
      </c>
      <c r="L102" s="77">
        <v>9</v>
      </c>
      <c r="M102" s="77">
        <v>9</v>
      </c>
      <c r="N102" s="77">
        <v>9.67</v>
      </c>
      <c r="O102" s="77">
        <v>9.67</v>
      </c>
      <c r="P102" s="77">
        <v>10</v>
      </c>
      <c r="Q102" s="79">
        <v>9.67</v>
      </c>
      <c r="R102" s="79">
        <v>19</v>
      </c>
      <c r="S102" s="77">
        <v>3.17</v>
      </c>
      <c r="T102" s="77">
        <v>12.13</v>
      </c>
      <c r="U102" s="79">
        <v>15.29</v>
      </c>
      <c r="V102" s="82">
        <v>53.63</v>
      </c>
      <c r="W102" s="76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Marks</vt:lpstr>
      <vt:lpstr>Detailed Marks</vt:lpstr>
      <vt:lpstr>EN4554_Intake 2021_New BSc Eng.</vt:lpstr>
      <vt:lpstr>Marks Addition</vt:lpstr>
      <vt:lpstr>Moodle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Ranga Rodrigo</dc:creator>
  <cp:lastModifiedBy>Ranga Rodrigo</cp:lastModifiedBy>
  <dcterms:created xsi:type="dcterms:W3CDTF">2023-03-20T07:56:13Z</dcterms:created>
  <dcterms:modified xsi:type="dcterms:W3CDTF">2025-12-28T10:34:10Z</dcterms:modified>
</cp:coreProperties>
</file>